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hili\Dropbox\02_Publications\TSE-MLOps\public data\Decentralized-TinyMLOps-Architectures-SLR\"/>
    </mc:Choice>
  </mc:AlternateContent>
  <xr:revisionPtr revIDLastSave="0" documentId="13_ncr:1_{BC740D46-FE22-4C70-80F7-9AA8F2F812D4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result set" sheetId="1" r:id="rId1"/>
    <sheet name="arch. analysis" sheetId="2" r:id="rId2"/>
    <sheet name="use cases" sheetId="4" r:id="rId3"/>
    <sheet name="frameworks and tools" sheetId="5" r:id="rId4"/>
    <sheet name="hardwar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7" i="6" l="1"/>
  <c r="G57" i="6"/>
  <c r="H57" i="6"/>
  <c r="I57" i="6"/>
  <c r="J57" i="6"/>
  <c r="K57" i="6"/>
  <c r="L57" i="6"/>
  <c r="M57" i="6"/>
  <c r="N57" i="6"/>
  <c r="O57" i="6"/>
  <c r="P57" i="6"/>
  <c r="E57" i="6"/>
  <c r="Q57" i="6"/>
  <c r="R57" i="6"/>
  <c r="S57" i="6"/>
  <c r="T57" i="6"/>
  <c r="U57" i="6"/>
  <c r="V57" i="6"/>
  <c r="W57" i="6"/>
  <c r="X57" i="6"/>
  <c r="Y57" i="6"/>
  <c r="Z57" i="6"/>
  <c r="AA57" i="6"/>
  <c r="AB57" i="6"/>
  <c r="AG57" i="6"/>
  <c r="BL56" i="6"/>
  <c r="BL57" i="6" s="1"/>
  <c r="BK56" i="6"/>
  <c r="BK57" i="6" s="1"/>
  <c r="BJ56" i="6"/>
  <c r="BJ57" i="6" s="1"/>
  <c r="BI56" i="6"/>
  <c r="BI57" i="6" s="1"/>
  <c r="BH56" i="6"/>
  <c r="BH57" i="6" s="1"/>
  <c r="BG56" i="6"/>
  <c r="BG57" i="6" s="1"/>
  <c r="BF56" i="6"/>
  <c r="BF57" i="6" s="1"/>
  <c r="BE56" i="6"/>
  <c r="BE57" i="6" s="1"/>
  <c r="BD56" i="6"/>
  <c r="BD57" i="6" s="1"/>
  <c r="BC56" i="6"/>
  <c r="BC57" i="6" s="1"/>
  <c r="BB56" i="6"/>
  <c r="BB57" i="6" s="1"/>
  <c r="BA56" i="6"/>
  <c r="BA57" i="6" s="1"/>
  <c r="AZ56" i="6"/>
  <c r="AZ57" i="6" s="1"/>
  <c r="AY56" i="6"/>
  <c r="AY57" i="6" s="1"/>
  <c r="AX56" i="6"/>
  <c r="AX57" i="6" s="1"/>
  <c r="AW56" i="6"/>
  <c r="AW57" i="6" s="1"/>
  <c r="AV56" i="6"/>
  <c r="AV57" i="6" s="1"/>
  <c r="AU56" i="6"/>
  <c r="AU57" i="6" s="1"/>
  <c r="AT56" i="6"/>
  <c r="AT57" i="6" s="1"/>
  <c r="AS56" i="6"/>
  <c r="AS57" i="6" s="1"/>
  <c r="AR56" i="6"/>
  <c r="AR57" i="6" s="1"/>
  <c r="AQ56" i="6"/>
  <c r="AQ57" i="6" s="1"/>
  <c r="AP56" i="6"/>
  <c r="AP57" i="6" s="1"/>
  <c r="AO56" i="6"/>
  <c r="AO57" i="6" s="1"/>
  <c r="AN56" i="6"/>
  <c r="AN57" i="6" s="1"/>
  <c r="AM56" i="6"/>
  <c r="AM57" i="6" s="1"/>
  <c r="AL56" i="6"/>
  <c r="AL57" i="6" s="1"/>
  <c r="AK56" i="6"/>
  <c r="AK57" i="6" s="1"/>
  <c r="AJ56" i="6"/>
  <c r="AJ57" i="6" s="1"/>
  <c r="AI56" i="6"/>
  <c r="AI57" i="6" s="1"/>
  <c r="AH56" i="6"/>
  <c r="AH57" i="6" s="1"/>
  <c r="AG56" i="6"/>
  <c r="AF56" i="6"/>
  <c r="AF57" i="6" s="1"/>
  <c r="AE56" i="6"/>
  <c r="AE57" i="6" s="1"/>
  <c r="AD56" i="6"/>
  <c r="AD57" i="6" s="1"/>
  <c r="AC56" i="6"/>
  <c r="AC57" i="6" s="1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N57" i="5"/>
  <c r="CE57" i="5"/>
  <c r="CF57" i="5"/>
  <c r="CG57" i="5"/>
  <c r="CH57" i="5"/>
  <c r="CI57" i="5"/>
  <c r="CJ57" i="5"/>
  <c r="CK57" i="5"/>
  <c r="CL57" i="5"/>
  <c r="CM57" i="5"/>
  <c r="CD57" i="5"/>
  <c r="BZ57" i="5"/>
  <c r="CA57" i="5"/>
  <c r="CB57" i="5"/>
  <c r="CC57" i="5"/>
  <c r="BY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K57" i="5"/>
  <c r="BH57" i="5"/>
  <c r="BI57" i="5"/>
  <c r="BJ57" i="5"/>
  <c r="BG57" i="5"/>
  <c r="AW57" i="5"/>
  <c r="AX57" i="5"/>
  <c r="AY57" i="5"/>
  <c r="AZ57" i="5"/>
  <c r="BA57" i="5"/>
  <c r="BB57" i="5"/>
  <c r="BC57" i="5"/>
  <c r="BD57" i="5"/>
  <c r="BE57" i="5"/>
  <c r="BF57" i="5"/>
  <c r="AV57" i="5"/>
  <c r="AN57" i="5"/>
  <c r="AJ57" i="5"/>
  <c r="AK57" i="5"/>
  <c r="AL57" i="5"/>
  <c r="AM57" i="5"/>
  <c r="AO57" i="5"/>
  <c r="AP57" i="5"/>
  <c r="AQ57" i="5"/>
  <c r="AR57" i="5"/>
  <c r="AS57" i="5"/>
  <c r="AT57" i="5"/>
  <c r="AU57" i="5"/>
  <c r="AI57" i="5"/>
  <c r="X57" i="5"/>
  <c r="Y57" i="5"/>
  <c r="Z57" i="5"/>
  <c r="AA57" i="5"/>
  <c r="AB57" i="5"/>
  <c r="AC57" i="5"/>
  <c r="AD57" i="5"/>
  <c r="AE57" i="5"/>
  <c r="AF57" i="5"/>
  <c r="AG57" i="5"/>
  <c r="AH57" i="5"/>
  <c r="W57" i="5"/>
  <c r="P57" i="5"/>
  <c r="Q57" i="5"/>
  <c r="R57" i="5"/>
  <c r="S57" i="5"/>
  <c r="T57" i="5"/>
  <c r="U57" i="5"/>
  <c r="V57" i="5"/>
  <c r="O57" i="5"/>
  <c r="N57" i="5"/>
  <c r="F57" i="5"/>
  <c r="G57" i="5"/>
  <c r="H57" i="5"/>
  <c r="I57" i="5"/>
  <c r="J57" i="5"/>
  <c r="K57" i="5"/>
  <c r="L57" i="5"/>
  <c r="M57" i="5"/>
  <c r="E57" i="5"/>
  <c r="CW57" i="5"/>
  <c r="CV57" i="5"/>
  <c r="DC56" i="5"/>
  <c r="DC57" i="5" s="1"/>
  <c r="DB56" i="5"/>
  <c r="DB57" i="5" s="1"/>
  <c r="DA56" i="5"/>
  <c r="DA57" i="5" s="1"/>
  <c r="CZ56" i="5"/>
  <c r="CZ57" i="5" s="1"/>
  <c r="CY56" i="5"/>
  <c r="CY57" i="5" s="1"/>
  <c r="CX56" i="5"/>
  <c r="CW56" i="5"/>
  <c r="CV56" i="5"/>
  <c r="CU56" i="5"/>
  <c r="CU57" i="5" s="1"/>
  <c r="CT56" i="5"/>
  <c r="CT57" i="5" s="1"/>
  <c r="CS56" i="5"/>
  <c r="CS57" i="5" s="1"/>
  <c r="CR56" i="5"/>
  <c r="CR57" i="5" s="1"/>
  <c r="CQ56" i="5"/>
  <c r="CQ57" i="5" s="1"/>
  <c r="CP56" i="5"/>
  <c r="CP57" i="5" s="1"/>
  <c r="CO56" i="5"/>
  <c r="CO57" i="5" s="1"/>
  <c r="CN56" i="5"/>
  <c r="CM56" i="5"/>
  <c r="CL56" i="5"/>
  <c r="CK56" i="5"/>
  <c r="CJ56" i="5"/>
  <c r="CI56" i="5"/>
  <c r="CH56" i="5"/>
  <c r="CG56" i="5"/>
  <c r="CF56" i="5"/>
  <c r="CE56" i="5"/>
  <c r="CD56" i="5"/>
  <c r="CC56" i="5"/>
  <c r="CB56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X57" i="5" s="1"/>
  <c r="I57" i="4"/>
  <c r="J57" i="4"/>
  <c r="K57" i="4"/>
  <c r="L57" i="4"/>
  <c r="M57" i="4"/>
  <c r="N57" i="4"/>
  <c r="H57" i="4"/>
  <c r="F57" i="4"/>
  <c r="G57" i="4"/>
  <c r="E57" i="4"/>
  <c r="G56" i="4"/>
  <c r="N56" i="4"/>
  <c r="M56" i="4"/>
  <c r="L56" i="4"/>
  <c r="K56" i="4"/>
  <c r="J56" i="4"/>
  <c r="I56" i="4"/>
  <c r="H56" i="4"/>
  <c r="F56" i="4"/>
  <c r="E56" i="4"/>
  <c r="D56" i="4"/>
  <c r="AN57" i="2"/>
  <c r="AO57" i="2"/>
  <c r="AP57" i="2"/>
  <c r="AQ57" i="2"/>
  <c r="AR57" i="2"/>
  <c r="AS57" i="2"/>
  <c r="AM57" i="2"/>
  <c r="AE57" i="2"/>
  <c r="AF57" i="2"/>
  <c r="AG57" i="2"/>
  <c r="AH57" i="2"/>
  <c r="AI57" i="2"/>
  <c r="AJ57" i="2"/>
  <c r="AK57" i="2"/>
  <c r="AL57" i="2"/>
  <c r="AD57" i="2"/>
  <c r="O57" i="2"/>
  <c r="P57" i="2"/>
  <c r="Q57" i="2"/>
  <c r="R57" i="2"/>
  <c r="S57" i="2"/>
  <c r="T57" i="2"/>
  <c r="N57" i="2"/>
  <c r="L57" i="2"/>
  <c r="M57" i="2"/>
  <c r="K57" i="2"/>
  <c r="Y57" i="2"/>
  <c r="Z57" i="2"/>
  <c r="X57" i="2"/>
  <c r="AB57" i="2"/>
  <c r="AC57" i="2"/>
  <c r="W57" i="2"/>
  <c r="V57" i="2"/>
  <c r="AA57" i="2"/>
  <c r="U57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J57" i="2" s="1"/>
  <c r="I56" i="2"/>
  <c r="H56" i="2"/>
  <c r="G56" i="2"/>
  <c r="F56" i="2"/>
  <c r="E56" i="2"/>
  <c r="D56" i="2"/>
  <c r="G57" i="2" l="1"/>
  <c r="E57" i="2"/>
  <c r="F57" i="2"/>
  <c r="H57" i="2"/>
  <c r="I57" i="2"/>
</calcChain>
</file>

<file path=xl/sharedStrings.xml><?xml version="1.0" encoding="utf-8"?>
<sst xmlns="http://schemas.openxmlformats.org/spreadsheetml/2006/main" count="2147" uniqueCount="431">
  <si>
    <t>ID</t>
  </si>
  <si>
    <t>Step</t>
  </si>
  <si>
    <t>Name</t>
  </si>
  <si>
    <t>Author</t>
  </si>
  <si>
    <t>DOI</t>
  </si>
  <si>
    <t>Decision</t>
  </si>
  <si>
    <t>RTF</t>
  </si>
  <si>
    <t>CTF</t>
  </si>
  <si>
    <t>manual</t>
  </si>
  <si>
    <t>Tiny-MLOps: a framework for orchestrating ML applications at the far edge of IoT systems</t>
  </si>
  <si>
    <t>Antonini et al.</t>
  </si>
  <si>
    <t>https://doi.org/10.1109/EAIS51927.2022.9787703</t>
  </si>
  <si>
    <t>Conference</t>
  </si>
  <si>
    <t>Scholar</t>
  </si>
  <si>
    <t>Inclusion</t>
  </si>
  <si>
    <t>Solution</t>
  </si>
  <si>
    <t>Framework</t>
  </si>
  <si>
    <t>Tiny Machine Learning Sensor Platform for Local Sensor Data Fusion and Evaluation</t>
  </si>
  <si>
    <t>Fraidling et al.</t>
  </si>
  <si>
    <t>https://ieeexplore.ieee.org/abstract/document/10483145</t>
  </si>
  <si>
    <t>Resilience-aware MLOps for resource-constrained AI- system</t>
  </si>
  <si>
    <t xml:space="preserve">Moskalenko et al. </t>
  </si>
  <si>
    <t>https://ceur-ws.org/Vol-3702/paper38.pdf</t>
  </si>
  <si>
    <t>Workshop</t>
  </si>
  <si>
    <t>automated</t>
  </si>
  <si>
    <t>Advancing TinyMLOps: Robust Model Updates in the Internet of Intelligent Vehicles</t>
  </si>
  <si>
    <t>Flores et al.</t>
  </si>
  <si>
    <t>https://doi.org/10.1109/MM.2024.3354323</t>
  </si>
  <si>
    <t>Journal</t>
  </si>
  <si>
    <t>IEEE Xplore</t>
  </si>
  <si>
    <t>On-device Online Learning and Semantic Management of TinyML Systems</t>
  </si>
  <si>
    <t>Ren et al.</t>
  </si>
  <si>
    <t>https://doi.org/10.1145/3665278</t>
  </si>
  <si>
    <t>ACM</t>
  </si>
  <si>
    <t>RIOT-ML: toolkit for over-the-air secure updates and performance evaluation of TinyML models</t>
  </si>
  <si>
    <t>Huang et al.</t>
  </si>
  <si>
    <t>https://doi.org/10.1007/s12243-024-01041-5</t>
  </si>
  <si>
    <t>Springer</t>
  </si>
  <si>
    <t>Tool</t>
  </si>
  <si>
    <t>SensOL: Memory-Efficient Online Learning for Tiny MCUs</t>
  </si>
  <si>
    <t>Demagh et al.</t>
  </si>
  <si>
    <t>https://doi.org/10.1109/SENSORS60989.2024.10784905</t>
  </si>
  <si>
    <t>TyBox: An Automatic Design and Code Generation Toolbox for TinyML Incremental On-Device Learning</t>
  </si>
  <si>
    <t>Pavan et al.</t>
  </si>
  <si>
    <t>https://doi.org/10.1145/3604566</t>
  </si>
  <si>
    <t>Enhanced FIWARE-Based Architecture for Cyberphysical Systems With Tiny Machine Learning and Machine Ops</t>
  </si>
  <si>
    <t xml:space="preserve">Conde et al. </t>
  </si>
  <si>
    <t>https://doi.org/10.1109/MITP.2024.3421968</t>
  </si>
  <si>
    <t>Unlocking Edge Intelligence Through Tiny Machine Learning (TinyML)</t>
  </si>
  <si>
    <t xml:space="preserve">Zaidi et al. </t>
  </si>
  <si>
    <t>https://doi.org/10.1109/ACCESS.2022.3207200</t>
  </si>
  <si>
    <t>TinyMLOps for real-time ultra-low power MCUs  applied to frame-based event classification</t>
  </si>
  <si>
    <t>Le et al.</t>
  </si>
  <si>
    <t>https://doi.org/10.1145/3578356.3592586</t>
  </si>
  <si>
    <t>Guideline</t>
  </si>
  <si>
    <t>Snowballing</t>
  </si>
  <si>
    <t>A TinyMLaaS Ecosystem for Machine Learning in IoT Overview and Research Challenges</t>
  </si>
  <si>
    <t xml:space="preserve">Doyu et al. </t>
  </si>
  <si>
    <t>https://doi.org/10.1109/VLSI-DAT52063.2021.9427352</t>
  </si>
  <si>
    <t>Philosophical</t>
  </si>
  <si>
    <t>A VMContainerized Approach for Scaling TinyML Applications</t>
  </si>
  <si>
    <t>Lootus et al.</t>
  </si>
  <si>
    <t>https://doi.org/10.48550/arXiv.2202.05057</t>
  </si>
  <si>
    <t>Edge Impulse: An MLOps Platform for Tiny Machine Learning</t>
  </si>
  <si>
    <t xml:space="preserve">Banbury et al. </t>
  </si>
  <si>
    <t>https://doi.org/10.48550/arXiv.2212.03332</t>
  </si>
  <si>
    <t>Evaluation</t>
  </si>
  <si>
    <t>Edge MLOps An Automation Framework for AIoT Applications</t>
  </si>
  <si>
    <t xml:space="preserve">Raj et al. </t>
  </si>
  <si>
    <t>https://doi.org/10.1109/IC2E52221.2021.00034</t>
  </si>
  <si>
    <t>Incremental On-Device Tiny Machine Learning</t>
  </si>
  <si>
    <t xml:space="preserve">Disabato und Roveri </t>
  </si>
  <si>
    <t>https://doi.org/10.1145/3417313.3429378</t>
  </si>
  <si>
    <t>Technique</t>
  </si>
  <si>
    <t>LinkEdge Open-sourced MLOps Integration with IoT Edge</t>
  </si>
  <si>
    <t xml:space="preserve">Peltonen und Dias </t>
  </si>
  <si>
    <t>https://doi.org/10.1145/3624486.3624496</t>
  </si>
  <si>
    <t>On-Device Training of Machine Learning Models on Microcontrollers With a Look at Federated Learning</t>
  </si>
  <si>
    <t xml:space="preserve">Grau et al. </t>
  </si>
  <si>
    <t>https://doi.org/10.1145/3462203.3475896</t>
  </si>
  <si>
    <t>OTA-TinyML Over the Air Deployment of TinyML Models and Execution on IoT Devices</t>
  </si>
  <si>
    <t>Sudharsan et al.</t>
  </si>
  <si>
    <t>https://doi.org/10.1109/MIC.2021.3133552</t>
  </si>
  <si>
    <t>SensiX++ Bringing MLOps and Multi-tenant Model Serving to Sensory Edge Devices</t>
  </si>
  <si>
    <t>Min et al</t>
  </si>
  <si>
    <t>https://doi.org/10.1145/3617507</t>
  </si>
  <si>
    <t>TDMiL Tiny Distributed Machine Learning for Microcontroller-Based Interconnected Devices</t>
  </si>
  <si>
    <t xml:space="preserve">Gulati et al. </t>
  </si>
  <si>
    <t>https://doi.org/10.1109/ACCESS.2024.3492921</t>
  </si>
  <si>
    <t>Train++ An Incremental ML Model Training Algorithm to Create Self-Learning IoT Devices</t>
  </si>
  <si>
    <t xml:space="preserve">Sudharsan et al. </t>
  </si>
  <si>
    <t>https://doi.org/10.1109/SWC50871.2021.00023</t>
  </si>
  <si>
    <t>Agile AI and Firmware Management in IoT DevOps for Low-Power Microcontroller-Based Platforms</t>
  </si>
  <si>
    <t>AlSelek et al.</t>
  </si>
  <si>
    <t>https://doi.org/10.23919/SpliTech61897.2024.10612585</t>
  </si>
  <si>
    <t>Dynamic AI-IoT Enabling Updatable AI Models in Ultralow-Power 5G IoT Devices</t>
  </si>
  <si>
    <t>https://doi.org/10.1109/JIOT.2023.3340858</t>
  </si>
  <si>
    <t>Edge2Train a framework to train machine learning models (SVMs) on resource-constrained IoT edge dev</t>
  </si>
  <si>
    <t>https://doi.org/10.1145/3410992.3411014</t>
  </si>
  <si>
    <t>Tiny Machine Learning for Concept Drift</t>
  </si>
  <si>
    <t>https://doi.org/10.1109/TNNLS.2022.3229897</t>
  </si>
  <si>
    <t>LifeLearner: Hardware-Aware Meta Continual Learning System for Embedded Computing Platforms</t>
  </si>
  <si>
    <t>Kwon et al.</t>
  </si>
  <si>
    <t>https://doi.org/10.1145/3625687.3625804</t>
  </si>
  <si>
    <t>Update Snowballing</t>
  </si>
  <si>
    <t>A Serverless Cloud-to-Thing Framework for TinyMLOps Workflows</t>
  </si>
  <si>
    <t>Loconte et al.</t>
  </si>
  <si>
    <t>https://ceur-ws.org/Vol-4109/paper9.pdf</t>
  </si>
  <si>
    <t>AutoODL: Automated on-device learning via dynamic unfreezing and semi-supervised labeling for edge AI</t>
  </si>
  <si>
    <t>Wang et al.</t>
  </si>
  <si>
    <t>https://doi.org/10.1016/j.neucom.2025.131720</t>
  </si>
  <si>
    <t>Online On-Device Adaptation of Linguistic Fuzzy Models for TinyML Systems</t>
  </si>
  <si>
    <t>Martin-Moreno et al.</t>
  </si>
  <si>
    <t>https://doi.org/10.3390/ai6120325</t>
  </si>
  <si>
    <t>DART: Device-Native Adaptive Real-Time Training for Lifelong Learning on IoT Boards</t>
  </si>
  <si>
    <t>Al-Ameen et al.</t>
  </si>
  <si>
    <t>https://doi.org/10.1109/BigData66926.2025.11401997</t>
  </si>
  <si>
    <t>MicroFlow: An Efficient Rust-Based Inference Engine for TinyML</t>
  </si>
  <si>
    <t>Carnelos et al.</t>
  </si>
  <si>
    <t>https://doi.org/10.1016/j.iot.2025.101498</t>
  </si>
  <si>
    <t>Dendron: Enhancing Human Activity Recognition With on-Device Tinyml Learning</t>
  </si>
  <si>
    <t>Shalby et al.</t>
  </si>
  <si>
    <t>https://doi.org/10.1109/CIES64955.2025.11007628</t>
  </si>
  <si>
    <t>FedTinyMed: Federated learning enabled tiny multi task machine learning model for smart healthcare monitoring for IoMT</t>
  </si>
  <si>
    <t>Kahn et al.</t>
  </si>
  <si>
    <t>https://doi.org/10.1016/j.compeleceng.2025.110761</t>
  </si>
  <si>
    <t>TinyML as a Service on Multi-Tenant Microcontrollers</t>
  </si>
  <si>
    <t>Buil et al.</t>
  </si>
  <si>
    <t>https://inria.hal.science/hal-05304192/</t>
  </si>
  <si>
    <t>TinyKubeML: Orchestrating TinyML Models on Far-Edge Clusters</t>
  </si>
  <si>
    <t>Oliveira et al.</t>
  </si>
  <si>
    <t>https://doi.org/10.5281/zenodo.18494389</t>
  </si>
  <si>
    <t>TensorFlores: An enhanced Python-based TinyML framework</t>
  </si>
  <si>
    <t>https://doi.org/10.1016/j.softx.2025.102224</t>
  </si>
  <si>
    <t>InTec: integrated things-edge computing: a framework for distributing machine learning pipelines in edge AI systems</t>
  </si>
  <si>
    <t>Larian et al.</t>
  </si>
  <si>
    <t>https://doi.org/10.1007/s00607-024-01388-6</t>
  </si>
  <si>
    <t>RockNet: Distributed Learning on Ultra-Low-Power Devices</t>
  </si>
  <si>
    <t>Gräfe et al.</t>
  </si>
  <si>
    <t>https://doi.org/10.1145/3773282</t>
  </si>
  <si>
    <t>On-Device Federated Learning for Energy-Efficient Smart Irrigation</t>
  </si>
  <si>
    <t>Dakhia et al.</t>
  </si>
  <si>
    <t>https://doi.org/10.3390/electronics14214311</t>
  </si>
  <si>
    <t>Remote Update of an IoT Device Convolutional Neural Network Model Using MQTT</t>
  </si>
  <si>
    <t>Landazuri et al.</t>
  </si>
  <si>
    <t>https://doi.org/10.1109/SoutheastCon56624.2025.10971646</t>
  </si>
  <si>
    <t>Zeki: A Containerized Pipeline for Deep Learning Deployment for Edge-based Structural Health Monitoring</t>
  </si>
  <si>
    <t>Farjad et al.</t>
  </si>
  <si>
    <t>https://doi.org/10.1145/3736425.3772357</t>
  </si>
  <si>
    <t>Efficient On-Device Domain Learning for Keyword Spotting on Ultra-Low-Power Platforms</t>
  </si>
  <si>
    <t>Cioflan et al.</t>
  </si>
  <si>
    <t>https://doi.org/10.1109/JIOT.2026.3654437</t>
  </si>
  <si>
    <t>On-device training and pruning for energy saving and continuous learning in resource-constrained MCUs</t>
  </si>
  <si>
    <t>Fusco et al.</t>
  </si>
  <si>
    <t>https://doi.org/10.1016/j.future.2025.108194</t>
  </si>
  <si>
    <t>FedCoRE: Effective Federated Learning for constrained RESTful environments in the Artificial Intelligence of Things</t>
  </si>
  <si>
    <t>Djamaa et al.</t>
  </si>
  <si>
    <t>https://doi.org/10.1016/j.jnca.2025.104357</t>
  </si>
  <si>
    <t>TinyFL_HKD: Enhancing Edge AI Federated Learning With Hierarchical Knowledge Distillation Framework</t>
  </si>
  <si>
    <t>Hung et al.</t>
  </si>
  <si>
    <t>https://doi.org/10.1109/JSEN.2025.3544861</t>
  </si>
  <si>
    <t>Concept Drift Mitigation on Resource-Constrained IoT Devices via Self-Learning</t>
  </si>
  <si>
    <t>Kargar et al.</t>
  </si>
  <si>
    <t>https://doi.org/10.1109/SAS65169.2025.11105109</t>
  </si>
  <si>
    <t>InfiniCL: Elastic Continual Learning for Resource-Constrained Edge Devices</t>
  </si>
  <si>
    <t>Lu et al.</t>
  </si>
  <si>
    <t>https://doi.org/10.1109/IWQoS65803.2025.11143493</t>
  </si>
  <si>
    <t>backup manual</t>
  </si>
  <si>
    <t>Consolidating TinyML Lifecycle With Large Language Models: Reality, Illusion, or Opportunity?</t>
  </si>
  <si>
    <t>Wu et al.</t>
  </si>
  <si>
    <t>https://doi.org/10.1109/MIOT.2025.3575927</t>
  </si>
  <si>
    <t>A Platform for Machine Learning Operations for Network Constrained Far-Edge Devices</t>
  </si>
  <si>
    <t>McCormack et al.</t>
  </si>
  <si>
    <t>https://doi.org/10.3390/asi8050141</t>
  </si>
  <si>
    <t>Poster: Road to Tiny Reality: Digital Twins for Decentralized AI on Microcontrollers</t>
  </si>
  <si>
    <t>Asadi et al.</t>
  </si>
  <si>
    <t>https://doi.org/10.1145/3680207.3765668</t>
  </si>
  <si>
    <t>Year</t>
  </si>
  <si>
    <t>Publication type</t>
  </si>
  <si>
    <t>Database</t>
  </si>
  <si>
    <t>Meta</t>
  </si>
  <si>
    <t>General Architecture</t>
  </si>
  <si>
    <t>Patterns</t>
  </si>
  <si>
    <t>Tactics</t>
  </si>
  <si>
    <t>Styles</t>
  </si>
  <si>
    <t>Runtime</t>
  </si>
  <si>
    <t>Monitoring Metrics</t>
  </si>
  <si>
    <t>Model Training</t>
  </si>
  <si>
    <t>Model Mgmt.</t>
  </si>
  <si>
    <t>Model Learning</t>
  </si>
  <si>
    <t>Model Optimization</t>
  </si>
  <si>
    <t>CI/CD</t>
  </si>
  <si>
    <t>Column7</t>
  </si>
  <si>
    <t>Component based</t>
  </si>
  <si>
    <t>SOA / Microservice</t>
  </si>
  <si>
    <t>Client-Server Architecture</t>
  </si>
  <si>
    <t>Data-Centric Architecture</t>
  </si>
  <si>
    <t>Distributed Architecture</t>
  </si>
  <si>
    <t>Three-Tier Architecture</t>
  </si>
  <si>
    <t>Interpreter</t>
  </si>
  <si>
    <t>Compiler</t>
  </si>
  <si>
    <t>ONNX</t>
  </si>
  <si>
    <t>Concept / data drift</t>
  </si>
  <si>
    <t>Model Accuracy</t>
  </si>
  <si>
    <t>RAM</t>
  </si>
  <si>
    <t>CPU</t>
  </si>
  <si>
    <t>Energy Consumption</t>
  </si>
  <si>
    <t>Storage</t>
  </si>
  <si>
    <t>Computional Latency</t>
  </si>
  <si>
    <t>Central Training</t>
  </si>
  <si>
    <t>Hybrid Training</t>
  </si>
  <si>
    <t>Model Versioning</t>
  </si>
  <si>
    <t>Experiment Tracking / Model Scoring</t>
  </si>
  <si>
    <t>Data Versioning</t>
  </si>
  <si>
    <t>Online Learning</t>
  </si>
  <si>
    <t>Offline Learning</t>
  </si>
  <si>
    <t>Lifelong Learning</t>
  </si>
  <si>
    <t>Pruning</t>
  </si>
  <si>
    <t>Quantization</t>
  </si>
  <si>
    <t>Sparsification</t>
  </si>
  <si>
    <t>adaptive computation</t>
  </si>
  <si>
    <t>knowledge distillation</t>
  </si>
  <si>
    <t>Test-Time Adaptation</t>
  </si>
  <si>
    <t>Network/model partitioning</t>
  </si>
  <si>
    <t>Feature Caching</t>
  </si>
  <si>
    <t>Automated Deployment</t>
  </si>
  <si>
    <t>Automated Testing</t>
  </si>
  <si>
    <t>Full Model Update</t>
  </si>
  <si>
    <t>Partial Model Update</t>
  </si>
  <si>
    <t>Rollback</t>
  </si>
  <si>
    <t>Hardware Emulation</t>
  </si>
  <si>
    <t>Containization</t>
  </si>
  <si>
    <t>Manual Search</t>
  </si>
  <si>
    <t>x</t>
  </si>
  <si>
    <t>DB Search</t>
  </si>
  <si>
    <t>X</t>
  </si>
  <si>
    <t>Update</t>
  </si>
  <si>
    <t>Khan et al.</t>
  </si>
  <si>
    <t>n</t>
  </si>
  <si>
    <t>%</t>
  </si>
  <si>
    <t>Domain</t>
  </si>
  <si>
    <t>Title</t>
  </si>
  <si>
    <t>Audio</t>
  </si>
  <si>
    <t>Industrial IoT</t>
  </si>
  <si>
    <t>Smart Home</t>
  </si>
  <si>
    <t>Medical</t>
  </si>
  <si>
    <t>Wearables / Health Monitoring</t>
  </si>
  <si>
    <t>Smart Agriculture</t>
  </si>
  <si>
    <t>Automotive</t>
  </si>
  <si>
    <t>Security &amp; Surveillance</t>
  </si>
  <si>
    <t>Computer Vision</t>
  </si>
  <si>
    <t>Sensor</t>
  </si>
  <si>
    <t>AI Use Case</t>
  </si>
  <si>
    <t>General Platform/OS</t>
  </si>
  <si>
    <t>Development</t>
  </si>
  <si>
    <t>Data Collection</t>
  </si>
  <si>
    <t>Data Processing/Preparation</t>
  </si>
  <si>
    <t>Training</t>
  </si>
  <si>
    <t>Optimization/Conversion</t>
  </si>
  <si>
    <t>Monitoring/Analytics</t>
  </si>
  <si>
    <t>Management/Orchestration</t>
  </si>
  <si>
    <t>Deployment/Update</t>
  </si>
  <si>
    <t>Micropython</t>
  </si>
  <si>
    <t>C++</t>
  </si>
  <si>
    <t>C</t>
  </si>
  <si>
    <t>Python</t>
  </si>
  <si>
    <t>Rust</t>
  </si>
  <si>
    <t>Linux</t>
  </si>
  <si>
    <t>RIOT</t>
  </si>
  <si>
    <t>RaspbianOS</t>
  </si>
  <si>
    <t>embServe</t>
  </si>
  <si>
    <t>Zephyr OS</t>
  </si>
  <si>
    <t>Arduino SDK</t>
  </si>
  <si>
    <t>VS Code</t>
  </si>
  <si>
    <t>PlatformIO IDE</t>
  </si>
  <si>
    <t xml:space="preserve">LangChain </t>
  </si>
  <si>
    <t>LangSmith</t>
  </si>
  <si>
    <t>GPT-4o</t>
  </si>
  <si>
    <t>Arduino IDE</t>
  </si>
  <si>
    <t>Atom + Pymakr</t>
  </si>
  <si>
    <t>Torque OBDPro App</t>
  </si>
  <si>
    <t>LevelDB</t>
  </si>
  <si>
    <t>Node-RED</t>
  </si>
  <si>
    <t>InfluxDB</t>
  </si>
  <si>
    <t>Azure Blob Storage</t>
  </si>
  <si>
    <t>MongoDB</t>
  </si>
  <si>
    <t>MQTT</t>
  </si>
  <si>
    <t>FTP</t>
  </si>
  <si>
    <t>AES (Advanced Encryption Standard)</t>
  </si>
  <si>
    <t>AWS S3 Storage</t>
  </si>
  <si>
    <t>Label Studio</t>
  </si>
  <si>
    <t>DVC</t>
  </si>
  <si>
    <t>Fiware draco (Apache nifi)</t>
  </si>
  <si>
    <t>ulab Library</t>
  </si>
  <si>
    <t>NumPy</t>
  </si>
  <si>
    <t>SciPy</t>
  </si>
  <si>
    <t>tsfresh</t>
  </si>
  <si>
    <t>River</t>
  </si>
  <si>
    <t>nalgebra</t>
  </si>
  <si>
    <t>sktime</t>
  </si>
  <si>
    <t>OpenCV</t>
  </si>
  <si>
    <t>Pandas</t>
  </si>
  <si>
    <t>Pickle4 Library (Python)</t>
  </si>
  <si>
    <t>DSP Pipeline (Edge Impulse)</t>
  </si>
  <si>
    <t>Librosa</t>
  </si>
  <si>
    <t>Keras</t>
  </si>
  <si>
    <t>Tensorflow</t>
  </si>
  <si>
    <t>PyTorch</t>
  </si>
  <si>
    <t>TensorRT</t>
  </si>
  <si>
    <t>Scikit-Learn</t>
  </si>
  <si>
    <t xml:space="preserve">AutoML </t>
  </si>
  <si>
    <t>PULP‑TrainLib</t>
  </si>
  <si>
    <t>Eigen (C++)</t>
  </si>
  <si>
    <t>Edge Impulse EON tuner</t>
  </si>
  <si>
    <t>Databricks (Azure)</t>
  </si>
  <si>
    <t>Azure ML</t>
  </si>
  <si>
    <t>MLFlow</t>
  </si>
  <si>
    <t xml:space="preserve">IoTNetEmu </t>
  </si>
  <si>
    <t>Renode</t>
  </si>
  <si>
    <t>U-TOE</t>
  </si>
  <si>
    <t>Tensorflow Lite</t>
  </si>
  <si>
    <t>Tensorflow Lite Micro</t>
  </si>
  <si>
    <t>STM32Cube.AI</t>
  </si>
  <si>
    <t>FlatBuffers Parser</t>
  </si>
  <si>
    <t>RIOT-ML</t>
  </si>
  <si>
    <t>Apache TVM</t>
  </si>
  <si>
    <t>Clang / LLVM</t>
  </si>
  <si>
    <t>Quantlib</t>
  </si>
  <si>
    <t>DORY</t>
  </si>
  <si>
    <t>Emlearn</t>
  </si>
  <si>
    <t xml:space="preserve"> NNoM (Neural Network library on Microcontrollers)</t>
  </si>
  <si>
    <t>QNNPACK</t>
  </si>
  <si>
    <t>EloquentTinyML</t>
  </si>
  <si>
    <t>Grafana</t>
  </si>
  <si>
    <t>GitLab Logging</t>
  </si>
  <si>
    <t>LibSaga</t>
  </si>
  <si>
    <t>AWS QuickSight</t>
  </si>
  <si>
    <t>REST API Monitoring</t>
  </si>
  <si>
    <t>GitLab</t>
  </si>
  <si>
    <t>Apache Airflow</t>
  </si>
  <si>
    <t>Mendix</t>
  </si>
  <si>
    <t>AWS IoT Core</t>
  </si>
  <si>
    <t xml:space="preserve">NextGenGW </t>
  </si>
  <si>
    <t>AWS Lambda</t>
  </si>
  <si>
    <t>AWS Greengrass</t>
  </si>
  <si>
    <t>AWS Console &amp; AWS SDK</t>
  </si>
  <si>
    <t>Azure IoT Central</t>
  </si>
  <si>
    <t>Azure DevOps</t>
  </si>
  <si>
    <t>GitLab CI/CD</t>
  </si>
  <si>
    <t>Docker</t>
  </si>
  <si>
    <t>Kubernetes</t>
  </si>
  <si>
    <t>Edge Impulse SDK</t>
  </si>
  <si>
    <t>IPSO Objects</t>
  </si>
  <si>
    <t>WebAssembly</t>
  </si>
  <si>
    <t>CoAP</t>
  </si>
  <si>
    <t>CBOR</t>
  </si>
  <si>
    <t>LwM2M</t>
  </si>
  <si>
    <t>Rune</t>
  </si>
  <si>
    <t>Hammer</t>
  </si>
  <si>
    <t>pySerialTransfer</t>
  </si>
  <si>
    <t>ESP-NOW</t>
  </si>
  <si>
    <t>ESP-IDF</t>
  </si>
  <si>
    <t>FITA: far-edge device management kubernetes</t>
  </si>
  <si>
    <t>SUIT (Software Updates for Internet of Things)</t>
  </si>
  <si>
    <t>Accelerator</t>
  </si>
  <si>
    <t>Ultra Low-Power MCUs</t>
  </si>
  <si>
    <t>Mid-Range</t>
  </si>
  <si>
    <t>High-Performance</t>
  </si>
  <si>
    <t>Single-Board Computers</t>
  </si>
  <si>
    <t>Google Coral TPU</t>
  </si>
  <si>
    <t>nRF52840</t>
  </si>
  <si>
    <t>LM3S6965</t>
  </si>
  <si>
    <t>Arduino Uno</t>
  </si>
  <si>
    <t>nRF9160</t>
  </si>
  <si>
    <t>b-l072z-lrwan1</t>
  </si>
  <si>
    <t>samr30-xpro</t>
  </si>
  <si>
    <t>nucleo-wl55jc</t>
  </si>
  <si>
    <t>Thunderboard Sense 2</t>
  </si>
  <si>
    <t>b-l475e-iot01a</t>
  </si>
  <si>
    <t>Arduino Zero</t>
  </si>
  <si>
    <t>Arm Cortex-M0+</t>
  </si>
  <si>
    <t>Raspberry Pi Pico</t>
  </si>
  <si>
    <t>Arduino Nano</t>
  </si>
  <si>
    <t>Arduino Nano BLE 33</t>
  </si>
  <si>
    <t>STM32F103C8T6</t>
  </si>
  <si>
    <t>ESP8266</t>
  </si>
  <si>
    <t>ATSAMD21 Metro</t>
  </si>
  <si>
    <t>STM32L476JGY</t>
  </si>
  <si>
    <t>nRF5340</t>
  </si>
  <si>
    <t>PyBadge</t>
  </si>
  <si>
    <t>STM32‑NUCLEO‑F401RE</t>
  </si>
  <si>
    <t>STM32F401</t>
  </si>
  <si>
    <t>STM32F10 Blue Pill</t>
  </si>
  <si>
    <t>Teensy 4.0</t>
  </si>
  <si>
    <t xml:space="preserve">Raspberry Pi Pico 2 </t>
  </si>
  <si>
    <t>STM32 Nucleo H7</t>
  </si>
  <si>
    <t>ATSAMV71</t>
  </si>
  <si>
    <t>M5StickC Plus 2</t>
  </si>
  <si>
    <t>STM32F722ZE</t>
  </si>
  <si>
    <t>STM32F746 Discovery</t>
  </si>
  <si>
    <t>stm32f746g-disco</t>
  </si>
  <si>
    <t>STM32-F746NG</t>
  </si>
  <si>
    <t>STM32H743</t>
  </si>
  <si>
    <t>STM32H747</t>
  </si>
  <si>
    <t>STM32F767</t>
  </si>
  <si>
    <t>OpenMV Board</t>
  </si>
  <si>
    <t xml:space="preserve">Feather M4 Express </t>
  </si>
  <si>
    <t>ESP32 DevKitC V4</t>
  </si>
  <si>
    <t>esp32-wroom-32</t>
  </si>
  <si>
    <t>sipeed-longan-nano</t>
  </si>
  <si>
    <t>hifive1b</t>
  </si>
  <si>
    <t>Adafruit HUZZAH32</t>
  </si>
  <si>
    <t>pycom FiPy board</t>
  </si>
  <si>
    <t>Arm Cortex-M4 MCU</t>
  </si>
  <si>
    <t>GreenWaves GAP9</t>
  </si>
  <si>
    <t>ESP-EYE</t>
  </si>
  <si>
    <t>Arduino Portenta H7</t>
  </si>
  <si>
    <t>ESP32</t>
  </si>
  <si>
    <t>Raspberry Pi Zero 2W</t>
  </si>
  <si>
    <t>Raspberry Pi 3B+</t>
  </si>
  <si>
    <t>Raspberry Pi 4B</t>
  </si>
  <si>
    <t>Raspberry Pi 5</t>
  </si>
  <si>
    <t>BeagleBone AI‑64</t>
  </si>
  <si>
    <t>NVIDIA Jetson Nano 2</t>
  </si>
  <si>
    <t>NVIDIA Jetson Nano</t>
  </si>
  <si>
    <t>NVIDIA Jetson Orin Nano</t>
  </si>
  <si>
    <t>Nvidia Jetson Xavier NX</t>
  </si>
  <si>
    <t>NVIDIA Jetson AGX</t>
  </si>
  <si>
    <t>NVIDIA Jetson NX</t>
  </si>
  <si>
    <t>Model format conversion</t>
  </si>
  <si>
    <t>Decentralized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</si>
</sst>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name val="Calibri"/>
      <family val="2"/>
    </font>
    <font>
      <sz val="12"/>
      <color theme="9"/>
      <name val="Calibri"/>
      <family val="2"/>
      <scheme val="minor"/>
    </font>
    <font>
      <u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hair">
        <color indexed="64"/>
      </right>
      <top style="double">
        <color auto="1"/>
      </top>
      <bottom/>
      <diagonal/>
    </border>
    <border>
      <left style="hair">
        <color indexed="64"/>
      </left>
      <right style="hair">
        <color indexed="64"/>
      </right>
      <top style="double">
        <color auto="1"/>
      </top>
      <bottom/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uble">
        <color auto="1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auto="1"/>
      </top>
      <bottom style="hair">
        <color indexed="64"/>
      </bottom>
      <diagonal/>
    </border>
    <border>
      <left/>
      <right style="medium">
        <color indexed="64"/>
      </right>
      <top style="double">
        <color auto="1"/>
      </top>
      <bottom style="hair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212">
    <xf numFmtId="0" fontId="0" fillId="0" borderId="0" xfId="0"/>
    <xf numFmtId="0" fontId="1" fillId="0" borderId="0" xfId="1"/>
    <xf numFmtId="0" fontId="2" fillId="0" borderId="0" xfId="0" applyFont="1"/>
    <xf numFmtId="0" fontId="4" fillId="0" borderId="0" xfId="2" applyFont="1"/>
    <xf numFmtId="0" fontId="4" fillId="0" borderId="0" xfId="2" applyFont="1" applyAlignment="1">
      <alignment horizontal="left"/>
    </xf>
    <xf numFmtId="0" fontId="4" fillId="0" borderId="0" xfId="2" applyFont="1" applyAlignment="1">
      <alignment vertical="center" wrapText="1"/>
    </xf>
    <xf numFmtId="0" fontId="5" fillId="0" borderId="0" xfId="2" applyFont="1" applyAlignment="1">
      <alignment vertical="center"/>
    </xf>
    <xf numFmtId="0" fontId="5" fillId="0" borderId="0" xfId="2" applyFont="1"/>
    <xf numFmtId="0" fontId="4" fillId="0" borderId="0" xfId="2" applyFont="1" applyAlignment="1">
      <alignment vertical="center"/>
    </xf>
    <xf numFmtId="0" fontId="4" fillId="2" borderId="13" xfId="2" applyFont="1" applyFill="1" applyBorder="1" applyAlignment="1">
      <alignment horizontal="left"/>
    </xf>
    <xf numFmtId="0" fontId="4" fillId="2" borderId="14" xfId="2" applyFont="1" applyFill="1" applyBorder="1" applyAlignment="1">
      <alignment wrapText="1"/>
    </xf>
    <xf numFmtId="0" fontId="4" fillId="2" borderId="15" xfId="2" applyFont="1" applyFill="1" applyBorder="1" applyAlignment="1">
      <alignment wrapText="1"/>
    </xf>
    <xf numFmtId="0" fontId="4" fillId="2" borderId="14" xfId="2" applyFont="1" applyFill="1" applyBorder="1" applyAlignment="1">
      <alignment horizontal="center" vertical="top" textRotation="90"/>
    </xf>
    <xf numFmtId="0" fontId="4" fillId="2" borderId="13" xfId="2" applyFont="1" applyFill="1" applyBorder="1" applyAlignment="1">
      <alignment horizontal="center" vertical="top" textRotation="90"/>
    </xf>
    <xf numFmtId="0" fontId="4" fillId="2" borderId="16" xfId="2" applyFont="1" applyFill="1" applyBorder="1" applyAlignment="1">
      <alignment horizontal="center" vertical="top" textRotation="90"/>
    </xf>
    <xf numFmtId="0" fontId="7" fillId="2" borderId="17" xfId="2" applyFont="1" applyFill="1" applyBorder="1" applyAlignment="1">
      <alignment horizontal="center" vertical="top" textRotation="90"/>
    </xf>
    <xf numFmtId="0" fontId="7" fillId="2" borderId="14" xfId="2" applyFont="1" applyFill="1" applyBorder="1" applyAlignment="1">
      <alignment horizontal="center" vertical="top" textRotation="90"/>
    </xf>
    <xf numFmtId="0" fontId="7" fillId="2" borderId="15" xfId="2" applyFont="1" applyFill="1" applyBorder="1" applyAlignment="1">
      <alignment horizontal="center" vertical="top" textRotation="90"/>
    </xf>
    <xf numFmtId="0" fontId="7" fillId="2" borderId="13" xfId="2" applyFont="1" applyFill="1" applyBorder="1" applyAlignment="1">
      <alignment horizontal="center" vertical="top" textRotation="90"/>
    </xf>
    <xf numFmtId="0" fontId="7" fillId="2" borderId="16" xfId="2" applyFont="1" applyFill="1" applyBorder="1" applyAlignment="1">
      <alignment horizontal="center" vertical="top" textRotation="90"/>
    </xf>
    <xf numFmtId="0" fontId="4" fillId="2" borderId="17" xfId="2" applyFont="1" applyFill="1" applyBorder="1" applyAlignment="1">
      <alignment horizontal="center" vertical="top" textRotation="90"/>
    </xf>
    <xf numFmtId="0" fontId="4" fillId="0" borderId="19" xfId="2" applyFont="1" applyBorder="1" applyAlignment="1">
      <alignment horizontal="left"/>
    </xf>
    <xf numFmtId="0" fontId="4" fillId="0" borderId="20" xfId="2" applyFont="1" applyBorder="1" applyAlignment="1">
      <alignment vertical="center" wrapText="1"/>
    </xf>
    <xf numFmtId="0" fontId="4" fillId="0" borderId="21" xfId="2" applyFont="1" applyBorder="1" applyAlignment="1">
      <alignment vertical="center" wrapText="1"/>
    </xf>
    <xf numFmtId="0" fontId="4" fillId="0" borderId="22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29" xfId="2" applyFont="1" applyBorder="1" applyAlignment="1">
      <alignment horizontal="left"/>
    </xf>
    <xf numFmtId="0" fontId="4" fillId="0" borderId="30" xfId="2" applyFont="1" applyBorder="1" applyAlignment="1">
      <alignment vertical="center" wrapText="1"/>
    </xf>
    <xf numFmtId="0" fontId="4" fillId="0" borderId="31" xfId="2" applyFont="1" applyBorder="1" applyAlignment="1">
      <alignment vertical="center" wrapText="1"/>
    </xf>
    <xf numFmtId="0" fontId="4" fillId="0" borderId="32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0" fontId="4" fillId="0" borderId="36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0" borderId="39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4" fillId="0" borderId="47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4" fillId="0" borderId="38" xfId="2" applyFont="1" applyBorder="1" applyAlignment="1">
      <alignment horizontal="left"/>
    </xf>
    <xf numFmtId="0" fontId="4" fillId="0" borderId="33" xfId="2" applyFont="1" applyBorder="1" applyAlignment="1">
      <alignment vertical="center" wrapText="1"/>
    </xf>
    <xf numFmtId="0" fontId="4" fillId="0" borderId="49" xfId="2" applyFont="1" applyBorder="1" applyAlignment="1">
      <alignment vertical="center" wrapText="1"/>
    </xf>
    <xf numFmtId="0" fontId="4" fillId="0" borderId="52" xfId="2" applyFont="1" applyBorder="1"/>
    <xf numFmtId="0" fontId="4" fillId="0" borderId="53" xfId="2" applyFont="1" applyBorder="1" applyAlignment="1">
      <alignment horizontal="left"/>
    </xf>
    <xf numFmtId="0" fontId="4" fillId="0" borderId="54" xfId="2" applyFont="1" applyBorder="1" applyAlignment="1">
      <alignment horizontal="right" vertical="center" wrapText="1"/>
    </xf>
    <xf numFmtId="0" fontId="4" fillId="0" borderId="55" xfId="2" applyFont="1" applyBorder="1" applyAlignment="1">
      <alignment horizontal="center" vertical="center" wrapText="1"/>
    </xf>
    <xf numFmtId="0" fontId="4" fillId="0" borderId="56" xfId="2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4" fillId="0" borderId="57" xfId="2" applyFont="1" applyBorder="1" applyAlignment="1">
      <alignment horizontal="center" vertical="center"/>
    </xf>
    <xf numFmtId="0" fontId="4" fillId="0" borderId="58" xfId="2" applyFont="1" applyBorder="1" applyAlignment="1">
      <alignment horizontal="center" vertical="center"/>
    </xf>
    <xf numFmtId="0" fontId="4" fillId="0" borderId="59" xfId="2" applyFont="1" applyBorder="1" applyAlignment="1">
      <alignment horizontal="center" vertical="center"/>
    </xf>
    <xf numFmtId="0" fontId="4" fillId="0" borderId="60" xfId="2" applyFont="1" applyBorder="1" applyAlignment="1">
      <alignment horizontal="left"/>
    </xf>
    <xf numFmtId="0" fontId="4" fillId="0" borderId="61" xfId="2" applyFont="1" applyBorder="1" applyAlignment="1">
      <alignment horizontal="right" vertical="center" wrapText="1"/>
    </xf>
    <xf numFmtId="9" fontId="2" fillId="0" borderId="62" xfId="3" applyFont="1" applyFill="1" applyBorder="1" applyAlignment="1">
      <alignment horizontal="center" vertical="center" wrapText="1"/>
    </xf>
    <xf numFmtId="10" fontId="5" fillId="0" borderId="63" xfId="3" applyNumberFormat="1" applyFont="1" applyFill="1" applyBorder="1" applyAlignment="1">
      <alignment horizontal="center" vertical="center"/>
    </xf>
    <xf numFmtId="9" fontId="5" fillId="0" borderId="64" xfId="3" applyFont="1" applyFill="1" applyBorder="1" applyAlignment="1">
      <alignment horizontal="center" vertical="center"/>
    </xf>
    <xf numFmtId="9" fontId="5" fillId="0" borderId="63" xfId="3" applyFont="1" applyFill="1" applyBorder="1" applyAlignment="1">
      <alignment horizontal="center" vertical="center"/>
    </xf>
    <xf numFmtId="9" fontId="5" fillId="0" borderId="65" xfId="3" applyFont="1" applyFill="1" applyBorder="1" applyAlignment="1">
      <alignment horizontal="center" vertical="center"/>
    </xf>
    <xf numFmtId="9" fontId="5" fillId="0" borderId="66" xfId="3" applyFont="1" applyFill="1" applyBorder="1" applyAlignment="1">
      <alignment horizontal="center" vertical="center"/>
    </xf>
    <xf numFmtId="0" fontId="4" fillId="0" borderId="46" xfId="2" applyFont="1" applyBorder="1"/>
    <xf numFmtId="0" fontId="4" fillId="0" borderId="0" xfId="2" applyFont="1" applyBorder="1" applyAlignment="1">
      <alignment horizontal="center" vertical="center"/>
    </xf>
    <xf numFmtId="0" fontId="4" fillId="2" borderId="67" xfId="2" applyFont="1" applyFill="1" applyBorder="1" applyAlignment="1">
      <alignment horizontal="center" vertical="top" textRotation="90"/>
    </xf>
    <xf numFmtId="10" fontId="5" fillId="0" borderId="64" xfId="3" applyNumberFormat="1" applyFont="1" applyFill="1" applyBorder="1" applyAlignment="1">
      <alignment horizontal="center" vertical="center"/>
    </xf>
    <xf numFmtId="10" fontId="5" fillId="0" borderId="62" xfId="3" applyNumberFormat="1" applyFont="1" applyFill="1" applyBorder="1" applyAlignment="1">
      <alignment horizontal="center" vertical="center"/>
    </xf>
    <xf numFmtId="10" fontId="5" fillId="0" borderId="61" xfId="3" applyNumberFormat="1" applyFont="1" applyFill="1" applyBorder="1" applyAlignment="1">
      <alignment horizontal="center" vertical="center"/>
    </xf>
    <xf numFmtId="10" fontId="5" fillId="0" borderId="60" xfId="3" applyNumberFormat="1" applyFont="1" applyFill="1" applyBorder="1" applyAlignment="1">
      <alignment horizontal="center" vertical="center"/>
    </xf>
    <xf numFmtId="10" fontId="5" fillId="0" borderId="68" xfId="3" applyNumberFormat="1" applyFont="1" applyFill="1" applyBorder="1" applyAlignment="1">
      <alignment horizontal="center" vertical="center"/>
    </xf>
    <xf numFmtId="10" fontId="5" fillId="0" borderId="69" xfId="3" applyNumberFormat="1" applyFont="1" applyFill="1" applyBorder="1" applyAlignment="1">
      <alignment horizontal="center" vertical="center"/>
    </xf>
    <xf numFmtId="10" fontId="5" fillId="0" borderId="70" xfId="3" applyNumberFormat="1" applyFont="1" applyFill="1" applyBorder="1" applyAlignment="1">
      <alignment horizontal="center" vertical="center"/>
    </xf>
    <xf numFmtId="0" fontId="3" fillId="0" borderId="0" xfId="2" applyAlignment="1">
      <alignment wrapText="1"/>
    </xf>
    <xf numFmtId="0" fontId="3" fillId="0" borderId="1" xfId="2" applyBorder="1" applyAlignment="1">
      <alignment wrapText="1"/>
    </xf>
    <xf numFmtId="0" fontId="3" fillId="2" borderId="2" xfId="2" applyFill="1" applyBorder="1" applyAlignment="1">
      <alignment wrapText="1"/>
    </xf>
    <xf numFmtId="0" fontId="3" fillId="2" borderId="71" xfId="2" applyFill="1" applyBorder="1" applyAlignment="1">
      <alignment horizontal="left" wrapText="1"/>
    </xf>
    <xf numFmtId="0" fontId="3" fillId="2" borderId="72" xfId="2" applyFill="1" applyBorder="1" applyAlignment="1">
      <alignment wrapText="1"/>
    </xf>
    <xf numFmtId="0" fontId="3" fillId="2" borderId="73" xfId="2" applyFill="1" applyBorder="1" applyAlignment="1">
      <alignment wrapText="1"/>
    </xf>
    <xf numFmtId="0" fontId="3" fillId="2" borderId="71" xfId="2" applyFill="1" applyBorder="1" applyAlignment="1">
      <alignment horizontal="center" vertical="top" textRotation="90" wrapText="1"/>
    </xf>
    <xf numFmtId="0" fontId="3" fillId="2" borderId="72" xfId="2" applyFill="1" applyBorder="1" applyAlignment="1">
      <alignment horizontal="center" vertical="top" textRotation="90" wrapText="1"/>
    </xf>
    <xf numFmtId="0" fontId="3" fillId="2" borderId="74" xfId="2" applyFill="1" applyBorder="1" applyAlignment="1">
      <alignment horizontal="center" vertical="top" textRotation="90" wrapText="1"/>
    </xf>
    <xf numFmtId="0" fontId="3" fillId="2" borderId="75" xfId="2" applyFill="1" applyBorder="1" applyAlignment="1">
      <alignment horizontal="center" vertical="top" textRotation="90" wrapText="1"/>
    </xf>
    <xf numFmtId="0" fontId="3" fillId="0" borderId="0" xfId="2" applyAlignment="1">
      <alignment horizontal="center" vertical="top" textRotation="90" wrapText="1"/>
    </xf>
    <xf numFmtId="0" fontId="8" fillId="0" borderId="0" xfId="2" applyFont="1" applyAlignment="1">
      <alignment wrapText="1"/>
    </xf>
    <xf numFmtId="0" fontId="4" fillId="0" borderId="2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39" xfId="2" applyFont="1" applyBorder="1" applyAlignment="1">
      <alignment horizontal="center" vertical="center" wrapText="1"/>
    </xf>
    <xf numFmtId="0" fontId="4" fillId="0" borderId="37" xfId="2" applyFont="1" applyBorder="1" applyAlignment="1">
      <alignment horizontal="center" vertical="center" wrapText="1"/>
    </xf>
    <xf numFmtId="0" fontId="4" fillId="0" borderId="0" xfId="2" applyFont="1" applyAlignment="1">
      <alignment wrapText="1"/>
    </xf>
    <xf numFmtId="0" fontId="4" fillId="0" borderId="29" xfId="2" applyFont="1" applyBorder="1" applyAlignment="1">
      <alignment horizontal="left" wrapText="1"/>
    </xf>
    <xf numFmtId="0" fontId="4" fillId="0" borderId="38" xfId="2" applyFont="1" applyBorder="1" applyAlignment="1">
      <alignment horizontal="left" wrapText="1"/>
    </xf>
    <xf numFmtId="0" fontId="4" fillId="0" borderId="38" xfId="2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4" fillId="0" borderId="48" xfId="2" applyFont="1" applyBorder="1" applyAlignment="1">
      <alignment horizontal="center" vertical="center" wrapText="1"/>
    </xf>
    <xf numFmtId="0" fontId="3" fillId="0" borderId="52" xfId="2" applyBorder="1" applyAlignment="1">
      <alignment wrapText="1"/>
    </xf>
    <xf numFmtId="0" fontId="3" fillId="2" borderId="71" xfId="2" applyFont="1" applyFill="1" applyBorder="1" applyAlignment="1">
      <alignment horizontal="center" vertical="top" textRotation="90" wrapText="1"/>
    </xf>
    <xf numFmtId="0" fontId="3" fillId="2" borderId="72" xfId="2" applyFont="1" applyFill="1" applyBorder="1" applyAlignment="1">
      <alignment horizontal="center" vertical="top" textRotation="90" wrapText="1"/>
    </xf>
    <xf numFmtId="10" fontId="5" fillId="0" borderId="65" xfId="3" applyNumberFormat="1" applyFont="1" applyFill="1" applyBorder="1" applyAlignment="1">
      <alignment horizontal="center" vertical="center"/>
    </xf>
    <xf numFmtId="0" fontId="4" fillId="0" borderId="19" xfId="2" applyFont="1" applyBorder="1" applyAlignment="1">
      <alignment horizontal="left" wrapText="1"/>
    </xf>
    <xf numFmtId="0" fontId="4" fillId="0" borderId="19" xfId="2" applyFont="1" applyBorder="1" applyAlignment="1">
      <alignment horizontal="center" vertical="center" wrapText="1"/>
    </xf>
    <xf numFmtId="0" fontId="4" fillId="0" borderId="20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9" fillId="0" borderId="30" xfId="2" applyFont="1" applyBorder="1" applyAlignment="1">
      <alignment horizontal="center" vertical="center" wrapText="1"/>
    </xf>
    <xf numFmtId="0" fontId="4" fillId="0" borderId="30" xfId="2" applyFont="1" applyBorder="1" applyAlignment="1">
      <alignment wrapText="1"/>
    </xf>
    <xf numFmtId="0" fontId="4" fillId="0" borderId="53" xfId="2" applyFont="1" applyBorder="1" applyAlignment="1">
      <alignment horizontal="left" wrapText="1"/>
    </xf>
    <xf numFmtId="0" fontId="4" fillId="0" borderId="76" xfId="2" applyFont="1" applyBorder="1" applyAlignment="1">
      <alignment horizontal="right" vertical="center" wrapText="1"/>
    </xf>
    <xf numFmtId="0" fontId="4" fillId="0" borderId="60" xfId="2" applyFont="1" applyBorder="1" applyAlignment="1">
      <alignment horizontal="left" wrapText="1"/>
    </xf>
    <xf numFmtId="0" fontId="4" fillId="0" borderId="70" xfId="2" applyFont="1" applyBorder="1" applyAlignment="1">
      <alignment horizontal="right" vertical="center" wrapText="1"/>
    </xf>
    <xf numFmtId="0" fontId="3" fillId="0" borderId="1" xfId="2" applyBorder="1"/>
    <xf numFmtId="0" fontId="3" fillId="2" borderId="2" xfId="2" applyFill="1" applyBorder="1"/>
    <xf numFmtId="0" fontId="3" fillId="0" borderId="0" xfId="2"/>
    <xf numFmtId="0" fontId="3" fillId="2" borderId="73" xfId="2" applyFill="1" applyBorder="1" applyAlignment="1">
      <alignment horizontal="center" vertical="top" textRotation="90" wrapText="1"/>
    </xf>
    <xf numFmtId="0" fontId="3" fillId="2" borderId="77" xfId="2" applyFill="1" applyBorder="1" applyAlignment="1">
      <alignment horizontal="center" vertical="top" textRotation="90" wrapText="1"/>
    </xf>
    <xf numFmtId="0" fontId="4" fillId="2" borderId="73" xfId="2" applyFont="1" applyFill="1" applyBorder="1" applyAlignment="1">
      <alignment horizontal="center" vertical="top" textRotation="90" wrapText="1"/>
    </xf>
    <xf numFmtId="0" fontId="3" fillId="2" borderId="8" xfId="2" applyFill="1" applyBorder="1" applyAlignment="1">
      <alignment horizontal="center" vertical="top" textRotation="90" wrapText="1"/>
    </xf>
    <xf numFmtId="0" fontId="4" fillId="0" borderId="31" xfId="2" applyFont="1" applyBorder="1" applyAlignment="1">
      <alignment horizontal="center" vertical="center" wrapText="1"/>
    </xf>
    <xf numFmtId="0" fontId="4" fillId="0" borderId="39" xfId="2" applyFont="1" applyBorder="1" applyAlignment="1">
      <alignment wrapText="1"/>
    </xf>
    <xf numFmtId="0" fontId="4" fillId="0" borderId="37" xfId="2" applyFont="1" applyBorder="1" applyAlignment="1">
      <alignment wrapText="1"/>
    </xf>
    <xf numFmtId="0" fontId="4" fillId="0" borderId="36" xfId="2" applyFont="1" applyBorder="1" applyAlignment="1">
      <alignment horizontal="center" vertical="center" wrapText="1"/>
    </xf>
    <xf numFmtId="0" fontId="4" fillId="0" borderId="29" xfId="2" applyFont="1" applyBorder="1" applyAlignment="1">
      <alignment wrapText="1"/>
    </xf>
    <xf numFmtId="0" fontId="4" fillId="0" borderId="33" xfId="2" applyFont="1" applyBorder="1" applyAlignment="1">
      <alignment wrapText="1"/>
    </xf>
    <xf numFmtId="0" fontId="4" fillId="0" borderId="49" xfId="2" applyFont="1" applyBorder="1" applyAlignment="1">
      <alignment horizontal="center" vertical="center" wrapText="1"/>
    </xf>
    <xf numFmtId="0" fontId="4" fillId="0" borderId="34" xfId="2" applyFont="1" applyBorder="1" applyAlignment="1">
      <alignment wrapText="1"/>
    </xf>
    <xf numFmtId="0" fontId="4" fillId="0" borderId="48" xfId="2" applyFont="1" applyBorder="1" applyAlignment="1">
      <alignment wrapText="1"/>
    </xf>
    <xf numFmtId="0" fontId="4" fillId="0" borderId="47" xfId="2" applyFont="1" applyBorder="1" applyAlignment="1">
      <alignment horizontal="center" vertical="center" wrapText="1"/>
    </xf>
    <xf numFmtId="0" fontId="4" fillId="0" borderId="38" xfId="2" applyFont="1" applyBorder="1" applyAlignment="1">
      <alignment wrapText="1"/>
    </xf>
    <xf numFmtId="0" fontId="4" fillId="0" borderId="20" xfId="2" applyFont="1" applyBorder="1" applyAlignment="1">
      <alignment wrapText="1"/>
    </xf>
    <xf numFmtId="0" fontId="4" fillId="0" borderId="21" xfId="2" applyFont="1" applyBorder="1" applyAlignment="1">
      <alignment horizontal="center" vertical="center" wrapText="1"/>
    </xf>
    <xf numFmtId="0" fontId="4" fillId="0" borderId="25" xfId="2" applyFont="1" applyBorder="1" applyAlignment="1">
      <alignment wrapText="1"/>
    </xf>
    <xf numFmtId="0" fontId="4" fillId="0" borderId="28" xfId="2" applyFont="1" applyBorder="1" applyAlignment="1">
      <alignment wrapText="1"/>
    </xf>
    <xf numFmtId="0" fontId="4" fillId="0" borderId="23" xfId="2" applyFont="1" applyBorder="1" applyAlignment="1">
      <alignment horizontal="center" vertical="center" wrapText="1"/>
    </xf>
    <xf numFmtId="0" fontId="4" fillId="0" borderId="19" xfId="2" applyFont="1" applyBorder="1" applyAlignment="1">
      <alignment wrapText="1"/>
    </xf>
    <xf numFmtId="0" fontId="4" fillId="0" borderId="21" xfId="2" applyFont="1" applyBorder="1" applyAlignment="1">
      <alignment wrapText="1"/>
    </xf>
    <xf numFmtId="0" fontId="4" fillId="0" borderId="31" xfId="2" applyFont="1" applyBorder="1" applyAlignment="1">
      <alignment wrapText="1"/>
    </xf>
    <xf numFmtId="0" fontId="4" fillId="0" borderId="49" xfId="2" applyFont="1" applyBorder="1" applyAlignment="1">
      <alignment wrapText="1"/>
    </xf>
    <xf numFmtId="10" fontId="5" fillId="0" borderId="66" xfId="3" applyNumberFormat="1" applyFont="1" applyFill="1" applyBorder="1" applyAlignment="1">
      <alignment horizontal="center" vertical="center"/>
    </xf>
    <xf numFmtId="0" fontId="4" fillId="0" borderId="81" xfId="2" applyFont="1" applyBorder="1" applyAlignment="1">
      <alignment horizontal="center" vertical="center" wrapText="1"/>
    </xf>
    <xf numFmtId="0" fontId="4" fillId="0" borderId="0" xfId="2" applyFont="1" applyAlignment="1">
      <alignment horizontal="left" vertical="top" wrapText="1"/>
    </xf>
    <xf numFmtId="0" fontId="4" fillId="0" borderId="82" xfId="2" applyFont="1" applyBorder="1" applyAlignment="1">
      <alignment horizontal="center" vertical="center" wrapText="1"/>
    </xf>
    <xf numFmtId="0" fontId="4" fillId="0" borderId="83" xfId="2" applyFont="1" applyBorder="1" applyAlignment="1">
      <alignment horizontal="center" vertical="center"/>
    </xf>
    <xf numFmtId="9" fontId="5" fillId="0" borderId="84" xfId="3" applyFont="1" applyFill="1" applyBorder="1" applyAlignment="1">
      <alignment horizontal="center" vertical="center"/>
    </xf>
    <xf numFmtId="0" fontId="4" fillId="0" borderId="85" xfId="2" applyFont="1" applyBorder="1" applyAlignment="1">
      <alignment horizontal="center" vertical="center"/>
    </xf>
    <xf numFmtId="9" fontId="5" fillId="0" borderId="67" xfId="3" applyFont="1" applyFill="1" applyBorder="1" applyAlignment="1">
      <alignment horizontal="center" vertical="center"/>
    </xf>
    <xf numFmtId="0" fontId="4" fillId="0" borderId="86" xfId="2" applyFont="1" applyBorder="1" applyAlignment="1">
      <alignment horizontal="center" vertical="center"/>
    </xf>
    <xf numFmtId="9" fontId="5" fillId="0" borderId="18" xfId="3" applyFont="1" applyFill="1" applyBorder="1" applyAlignment="1">
      <alignment horizontal="center" vertical="center"/>
    </xf>
    <xf numFmtId="0" fontId="4" fillId="0" borderId="1" xfId="2" applyFont="1" applyBorder="1" applyAlignment="1">
      <alignment wrapText="1"/>
    </xf>
    <xf numFmtId="0" fontId="4" fillId="2" borderId="2" xfId="2" applyFont="1" applyFill="1" applyBorder="1" applyAlignment="1">
      <alignment wrapText="1"/>
    </xf>
    <xf numFmtId="0" fontId="4" fillId="2" borderId="78" xfId="2" applyFont="1" applyFill="1" applyBorder="1" applyAlignment="1">
      <alignment horizontal="center" wrapText="1"/>
    </xf>
    <xf numFmtId="0" fontId="4" fillId="2" borderId="71" xfId="2" applyFont="1" applyFill="1" applyBorder="1" applyAlignment="1">
      <alignment horizontal="left" wrapText="1"/>
    </xf>
    <xf numFmtId="0" fontId="4" fillId="2" borderId="72" xfId="2" applyFont="1" applyFill="1" applyBorder="1" applyAlignment="1">
      <alignment wrapText="1"/>
    </xf>
    <xf numFmtId="0" fontId="4" fillId="2" borderId="73" xfId="2" applyFont="1" applyFill="1" applyBorder="1" applyAlignment="1">
      <alignment wrapText="1"/>
    </xf>
    <xf numFmtId="0" fontId="4" fillId="2" borderId="79" xfId="2" applyFont="1" applyFill="1" applyBorder="1" applyAlignment="1">
      <alignment horizontal="center" vertical="top" textRotation="90" wrapText="1"/>
    </xf>
    <xf numFmtId="0" fontId="4" fillId="2" borderId="71" xfId="2" applyFont="1" applyFill="1" applyBorder="1" applyAlignment="1">
      <alignment horizontal="center" vertical="top" textRotation="90" wrapText="1"/>
    </xf>
    <xf numFmtId="0" fontId="4" fillId="2" borderId="75" xfId="2" applyFont="1" applyFill="1" applyBorder="1" applyAlignment="1">
      <alignment horizontal="center" vertical="top" textRotation="90" wrapText="1"/>
    </xf>
    <xf numFmtId="0" fontId="4" fillId="2" borderId="72" xfId="2" applyFont="1" applyFill="1" applyBorder="1" applyAlignment="1">
      <alignment horizontal="center" vertical="top" textRotation="90" wrapText="1"/>
    </xf>
    <xf numFmtId="0" fontId="4" fillId="2" borderId="74" xfId="2" applyFont="1" applyFill="1" applyBorder="1" applyAlignment="1">
      <alignment horizontal="center" vertical="top" textRotation="90" wrapText="1"/>
    </xf>
    <xf numFmtId="0" fontId="4" fillId="2" borderId="8" xfId="2" applyFont="1" applyFill="1" applyBorder="1" applyAlignment="1">
      <alignment horizontal="center" vertical="top" textRotation="90" wrapText="1"/>
    </xf>
    <xf numFmtId="0" fontId="4" fillId="0" borderId="0" xfId="2" applyFont="1" applyAlignment="1">
      <alignment horizontal="left" vertical="top" textRotation="90" wrapText="1"/>
    </xf>
    <xf numFmtId="0" fontId="4" fillId="0" borderId="0" xfId="2" applyFont="1" applyAlignment="1">
      <alignment horizontal="center" vertical="top" textRotation="90" wrapText="1"/>
    </xf>
    <xf numFmtId="0" fontId="4" fillId="0" borderId="80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center" wrapText="1"/>
    </xf>
    <xf numFmtId="0" fontId="4" fillId="0" borderId="52" xfId="2" applyFont="1" applyBorder="1" applyAlignment="1">
      <alignment horizontal="left" vertical="top" wrapText="1"/>
    </xf>
    <xf numFmtId="0" fontId="4" fillId="0" borderId="52" xfId="2" applyFont="1" applyBorder="1" applyAlignment="1">
      <alignment wrapText="1"/>
    </xf>
    <xf numFmtId="0" fontId="4" fillId="0" borderId="42" xfId="2" applyFont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5" fillId="2" borderId="9" xfId="2" applyFont="1" applyFill="1" applyBorder="1" applyAlignment="1">
      <alignment horizontal="center" vertical="center"/>
    </xf>
    <xf numFmtId="0" fontId="3" fillId="2" borderId="1" xfId="2" applyFill="1" applyBorder="1" applyAlignment="1">
      <alignment horizontal="center" wrapText="1"/>
    </xf>
    <xf numFmtId="0" fontId="3" fillId="2" borderId="2" xfId="2" applyFill="1" applyBorder="1" applyAlignment="1">
      <alignment horizontal="center" wrapText="1"/>
    </xf>
    <xf numFmtId="0" fontId="3" fillId="2" borderId="3" xfId="2" applyFill="1" applyBorder="1" applyAlignment="1">
      <alignment horizontal="center" wrapText="1"/>
    </xf>
    <xf numFmtId="0" fontId="3" fillId="2" borderId="1" xfId="2" applyFill="1" applyBorder="1" applyAlignment="1">
      <alignment horizontal="center"/>
    </xf>
    <xf numFmtId="0" fontId="3" fillId="2" borderId="2" xfId="2" applyFill="1" applyBorder="1" applyAlignment="1">
      <alignment horizontal="center"/>
    </xf>
    <xf numFmtId="0" fontId="3" fillId="2" borderId="3" xfId="2" applyFill="1" applyBorder="1" applyAlignment="1">
      <alignment horizontal="center"/>
    </xf>
    <xf numFmtId="0" fontId="3" fillId="2" borderId="1" xfId="2" applyFill="1" applyBorder="1" applyAlignment="1">
      <alignment horizontal="center" vertical="top"/>
    </xf>
    <xf numFmtId="0" fontId="3" fillId="2" borderId="2" xfId="2" applyFill="1" applyBorder="1" applyAlignment="1">
      <alignment horizontal="center" vertical="top"/>
    </xf>
    <xf numFmtId="0" fontId="3" fillId="2" borderId="3" xfId="2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wrapText="1"/>
    </xf>
    <xf numFmtId="0" fontId="4" fillId="2" borderId="2" xfId="2" applyFont="1" applyFill="1" applyBorder="1" applyAlignment="1">
      <alignment horizontal="center" wrapText="1"/>
    </xf>
    <xf numFmtId="0" fontId="4" fillId="2" borderId="3" xfId="2" applyFont="1" applyFill="1" applyBorder="1" applyAlignment="1">
      <alignment horizontal="center" wrapText="1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2" xr:uid="{BAD51B24-6485-4961-960C-8669FD8C69C3}"/>
    <cellStyle name="Percent 2" xfId="3" xr:uid="{037CF671-4975-4612-88F3-37D1CDC91B69}"/>
  </cellStyles>
  <dxfs count="241"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top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top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vertAlign val="baseline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top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medium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none">
          <fgColor indexed="64"/>
          <bgColor auto="1"/>
        </patternFill>
      </fill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E370D-01D3-4488-BE1C-5709943FB6A5}" name="Tabelle2" displayName="Tabelle2" ref="B4:AS57" totalsRowShown="0" headerRowDxfId="240" dataDxfId="238" headerRowBorderDxfId="239">
  <autoFilter ref="B4:AS57" xr:uid="{3EBF0AC9-9BBD-5045-B594-B590D4AEC6F6}"/>
  <tableColumns count="44">
    <tableColumn id="1" xr3:uid="{80D95E90-933C-41C0-8E1B-972E0AE26298}" name="ID" dataDxfId="237"/>
    <tableColumn id="2" xr3:uid="{2FD13B3B-1E59-49C6-9064-EA417E1581BA}" name="Column7" dataDxfId="236"/>
    <tableColumn id="3" xr3:uid="{32C2C47C-1B4B-4DF4-90B0-942FEF577900}" name="Author" dataDxfId="235"/>
    <tableColumn id="5" xr3:uid="{DA824634-BD69-4791-A4F3-82B7953BEB0D}" name="Component based" dataDxfId="234"/>
    <tableColumn id="42" xr3:uid="{FB84DCBA-C44E-492B-8ABB-45CE3AF25B23}" name="SOA / Microservice" dataDxfId="233"/>
    <tableColumn id="6" xr3:uid="{493C6E1A-80C4-4F2C-B1D0-086C7B369902}" name="Client-Server Architecture" dataDxfId="232"/>
    <tableColumn id="7" xr3:uid="{976A8942-E697-482D-B6AC-2B1F40F70528}" name="Data-Centric Architecture" dataDxfId="231"/>
    <tableColumn id="48" xr3:uid="{783F8CBD-A901-4FC6-A00E-26543C3D4887}" name="Distributed Architecture" dataDxfId="230"/>
    <tableColumn id="8" xr3:uid="{95F3A998-0028-47BB-B4BD-84DCE5C5D1F0}" name="Three-Tier Architecture" dataDxfId="229"/>
    <tableColumn id="9" xr3:uid="{5AE620E5-7BF5-4901-8494-90192C7FF542}" name="Interpreter" dataDxfId="228"/>
    <tableColumn id="10" xr3:uid="{07FD44FF-F2E7-4EDA-A8FF-0EC38AE36F64}" name="Compiler" dataDxfId="227"/>
    <tableColumn id="11" xr3:uid="{D4576B6D-F521-4FAB-A613-3C9E4F4E6CFA}" name="ONNX" dataDxfId="226"/>
    <tableColumn id="36" xr3:uid="{D1749B12-6511-41B1-9158-94141A2BD694}" name="Concept / data drift" dataDxfId="225" dataCellStyle="Normal 2"/>
    <tableColumn id="37" xr3:uid="{159BBF5D-8FF0-4618-9941-0AF47ECC0548}" name="Model Accuracy" dataDxfId="224" dataCellStyle="Normal 2"/>
    <tableColumn id="38" xr3:uid="{8BCF70DA-1EBB-43C5-A159-EFB75DC1C047}" name="RAM" dataDxfId="223" dataCellStyle="Normal 2"/>
    <tableColumn id="54" xr3:uid="{F2775448-7C19-4A5D-AC76-029E743AADAE}" name="CPU" dataDxfId="222" dataCellStyle="Normal 2"/>
    <tableColumn id="52" xr3:uid="{337D81F3-9D3E-44E6-B76B-4DEBA413C267}" name="Energy Consumption" dataDxfId="221" dataCellStyle="Normal 2"/>
    <tableColumn id="39" xr3:uid="{1658CC9E-0DA3-47C3-A023-3C3D55120F73}" name="Storage" dataDxfId="220" dataCellStyle="Normal 2"/>
    <tableColumn id="40" xr3:uid="{19B3F67A-6687-4248-BBE6-E78213A14BA1}" name="Computional Latency" dataDxfId="219" dataCellStyle="Normal 2"/>
    <tableColumn id="13" xr3:uid="{CC61837F-4394-420A-80AC-0E21CCEBE857}" name="Central Training" dataDxfId="218"/>
    <tableColumn id="16" xr3:uid="{7E19D1D7-EF56-4A1E-80FC-9519E12BDE17}" name="Decentralized Training" dataDxfId="217"/>
    <tableColumn id="15" xr3:uid="{8D0CDEB7-D47C-4C47-BA80-21612FDFE519}" name="Hybrid Training" dataDxfId="216"/>
    <tableColumn id="26" xr3:uid="{808A12BA-E5DA-4BB6-B9E2-E7535C9C3C55}" name="Model Versioning" dataDxfId="215" dataCellStyle="Normal 2"/>
    <tableColumn id="27" xr3:uid="{1EDD1A98-C7BE-457E-B2E9-EFC3EE646019}" name="Experiment Tracking / Model Scoring" dataDxfId="214" dataCellStyle="Normal 2"/>
    <tableColumn id="28" xr3:uid="{ABD7A044-D68E-4E1F-B60E-A325DA1A4974}" name="Data Versioning" dataDxfId="213" dataCellStyle="Normal 2"/>
    <tableColumn id="50" xr3:uid="{95C98D6C-B0EB-4389-85F2-E587C333BF5C}" name="Online Learning" dataDxfId="212"/>
    <tableColumn id="18" xr3:uid="{4BAD9973-523D-423F-9F78-0CA875FAA518}" name="Offline Learning" dataDxfId="211"/>
    <tableColumn id="51" xr3:uid="{2E329BBA-772B-42B9-B4B1-084432CA1F72}" name="Lifelong Learning" dataDxfId="210" dataCellStyle="Normal 2"/>
    <tableColumn id="21" xr3:uid="{17833E5C-4087-4B2C-98C7-2437AEEE943E}" name="Pruning" dataDxfId="209"/>
    <tableColumn id="45" xr3:uid="{B1E9D2DB-BB25-4C3E-8FFA-059193FA34D3}" name="Quantization" dataDxfId="208" dataCellStyle="Normal 2"/>
    <tableColumn id="12" xr3:uid="{EE4358E6-A06B-4EF3-945A-8ADEE29038BD}" name="Sparsification" dataDxfId="207" dataCellStyle="Normal 2"/>
    <tableColumn id="22" xr3:uid="{7238001C-4A22-4FA0-94DB-42D03F93F487}" name="adaptive computation" dataDxfId="206"/>
    <tableColumn id="23" xr3:uid="{B2AF35FC-6FD2-40D6-AFC6-3DDAECEBCC92}" name="knowledge distillation" dataDxfId="205"/>
    <tableColumn id="20" xr3:uid="{0638071E-59E9-4CDC-B7D8-8CFD07C5A58A}" name="Model format conversion" dataDxfId="204" dataCellStyle="Normal 2"/>
    <tableColumn id="24" xr3:uid="{41E49210-0678-4A75-BC64-632E2CB040CC}" name="Test-Time Adaptation" dataDxfId="203"/>
    <tableColumn id="53" xr3:uid="{3D6FC119-5984-4723-804D-A4B4DF1DC501}" name="Network/model partitioning" dataDxfId="202" dataCellStyle="Normal 2"/>
    <tableColumn id="25" xr3:uid="{71A390E3-34CA-4880-BA5D-1376EB2A249A}" name="Feature Caching" dataDxfId="201"/>
    <tableColumn id="29" xr3:uid="{2A6C618C-3E60-47EC-AFCF-2C6DB72B71CB}" name="Automated Deployment" dataDxfId="200"/>
    <tableColumn id="41" xr3:uid="{ED5C8BE5-3E26-4474-ABFD-B571680EF7B3}" name="Automated Testing" dataDxfId="199"/>
    <tableColumn id="30" xr3:uid="{9D15939F-7A9A-4B2F-B3B3-2BEDD96D833B}" name="Full Model Update" dataDxfId="198"/>
    <tableColumn id="31" xr3:uid="{CAAE5653-0F9D-4B14-8505-BED8E862458E}" name="Partial Model Update" dataDxfId="197"/>
    <tableColumn id="19" xr3:uid="{20AFEAB4-8F48-434E-9A82-D8E586934E4A}" name="Rollback" dataDxfId="196" dataCellStyle="Normal 2"/>
    <tableColumn id="32" xr3:uid="{9BCF7E80-F54D-4D6D-AB34-77322C19E154}" name="Hardware Emulation" dataDxfId="195" dataCellStyle="Normal 2"/>
    <tableColumn id="33" xr3:uid="{CFE54D1A-220A-4985-96BB-5F6DFD48E985}" name="Containization" dataDxfId="19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B53971-FFFC-44B7-B94D-5208CA07B429}" name="Tabelle15" displayName="Tabelle15" ref="B4:N57" totalsRowShown="0" headerRowDxfId="193" dataDxfId="191" headerRowBorderDxfId="192" tableBorderDxfId="190">
  <autoFilter ref="B4:N57" xr:uid="{9F84F424-A07F-C641-8ECB-531B8AC16616}"/>
  <tableColumns count="13">
    <tableColumn id="1" xr3:uid="{6C542274-94B3-4E3E-887C-17302014D23A}" name="ID" dataDxfId="189"/>
    <tableColumn id="2" xr3:uid="{8AE9E755-2094-43A2-9E75-FD068A4574A7}" name="Title" dataDxfId="188"/>
    <tableColumn id="3" xr3:uid="{FBFF648D-0171-46D2-B4A0-494C89C19E97}" name="Author" dataDxfId="187"/>
    <tableColumn id="5" xr3:uid="{D948C18D-223B-42AD-93EA-2E33243FEFBF}" name="Sensor" dataDxfId="186"/>
    <tableColumn id="7" xr3:uid="{B27823AB-CDD9-4786-8B83-1E208586C619}" name="Audio" dataDxfId="185"/>
    <tableColumn id="4" xr3:uid="{EBDB4F2B-1552-4B51-9863-C4AF20BE2A8C}" name="Computer Vision" dataDxfId="184" dataCellStyle="Normal 2"/>
    <tableColumn id="10" xr3:uid="{DEB693F0-D8DE-4772-A01E-76E63BEA3985}" name="Industrial IoT" dataDxfId="183"/>
    <tableColumn id="11" xr3:uid="{F50C0CB7-56DD-4555-995C-0FE46852ADAB}" name="Smart Home" dataDxfId="182"/>
    <tableColumn id="43" xr3:uid="{400CD787-A0C2-4A3E-8F78-EB6CABC47D89}" name="Medical" dataDxfId="181"/>
    <tableColumn id="12" xr3:uid="{D18C7DDB-D424-4326-B20A-7F02778D362D}" name="Wearables / Health Monitoring" dataDxfId="180"/>
    <tableColumn id="13" xr3:uid="{4DD410E0-21EF-4486-901D-32BC573F1A8C}" name="Smart Agriculture" dataDxfId="179"/>
    <tableColumn id="14" xr3:uid="{46115AF1-FE3B-457E-ACCB-9AFC17BE60A7}" name="Automotive" dataDxfId="178"/>
    <tableColumn id="15" xr3:uid="{4C8F86B4-3A4C-43B1-86B5-8BA6E28939D7}" name="Security &amp; Surveillance" dataDxfId="17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331966-5EF8-4ABD-8934-A6B62ED23FF0}" name="Tabelle14" displayName="Tabelle14" ref="B4:DC57" totalsRowShown="0" headerRowDxfId="176" dataDxfId="174" headerRowBorderDxfId="175" tableBorderDxfId="173">
  <autoFilter ref="B4:DC57" xr:uid="{082B757E-761F-B743-A13D-A75CC295A01F}"/>
  <tableColumns count="106">
    <tableColumn id="1" xr3:uid="{FE41F28B-7D9C-4ECE-A95B-8F7019CF4D4D}" name="ID" dataDxfId="172"/>
    <tableColumn id="2" xr3:uid="{47BB9ED2-A5B8-482C-A7D8-80F598FBADBB}" name="Title" dataDxfId="171"/>
    <tableColumn id="3" xr3:uid="{BA04C0E9-6E05-42EF-A3DA-021E11559B29}" name="Author" dataDxfId="170"/>
    <tableColumn id="5" xr3:uid="{B4EDDC4B-E935-4457-AB9C-8CC7FCAB8209}" name="Micropython" dataDxfId="169"/>
    <tableColumn id="6" xr3:uid="{AE81E793-23E8-42D3-A659-6356D27ED3D6}" name="C++" dataDxfId="168"/>
    <tableColumn id="117" xr3:uid="{25B0B453-A062-41A0-A1B9-B1160CA5B937}" name="C" dataDxfId="167"/>
    <tableColumn id="7" xr3:uid="{AC111C04-AD10-4054-8B4F-97602C0044E1}" name="Python" dataDxfId="166"/>
    <tableColumn id="8" xr3:uid="{285DE1A3-1B12-4C20-AEB5-0BD4AF39C897}" name="Rust" dataDxfId="165"/>
    <tableColumn id="45" xr3:uid="{F129844E-12FE-46F3-AD7F-9004D1079466}" name="Linux" dataDxfId="164" dataCellStyle="Normal 2"/>
    <tableColumn id="47" xr3:uid="{253C250B-0717-4CDC-BEB1-F6261E7C82F4}" name="RIOT" dataDxfId="163" dataCellStyle="Normal 2"/>
    <tableColumn id="23" xr3:uid="{5020A81B-D49D-4F10-8C54-E11728B2C840}" name="RaspbianOS" dataDxfId="162"/>
    <tableColumn id="17" xr3:uid="{38873B59-6345-4F65-9CB1-AAEF103B0258}" name="embServe" dataDxfId="161" dataCellStyle="Normal 2"/>
    <tableColumn id="48" xr3:uid="{2C2064A1-7F25-4DB9-8B0A-8042C247D025}" name="Zephyr OS" dataDxfId="160" dataCellStyle="Normal 2"/>
    <tableColumn id="50" xr3:uid="{33B0E00D-13F2-46E5-B3A7-DF878B07393A}" name="Arduino SDK" dataDxfId="159" dataCellStyle="Normal 2"/>
    <tableColumn id="89" xr3:uid="{F3172BE2-8ECD-491C-868D-63F37282E577}" name="VS Code" dataDxfId="158"/>
    <tableColumn id="94" xr3:uid="{DB0E1424-2050-4D95-8FB6-EF09EC869481}" name="PlatformIO IDE" dataDxfId="157"/>
    <tableColumn id="98" xr3:uid="{D44A4080-8E9B-4B10-B3C2-69F97BA67328}" name="LangChain " dataDxfId="156"/>
    <tableColumn id="100" xr3:uid="{0673EB50-6946-4DA8-AC85-07F2D319DC52}" name="LangSmith" dataDxfId="155"/>
    <tableColumn id="99" xr3:uid="{CD5E12D3-D352-4304-8CF6-589436722822}" name="GPT-4o" dataDxfId="154"/>
    <tableColumn id="82" xr3:uid="{F4D4E209-066C-40E2-90F2-A7EB426CF68C}" name="Arduino IDE" dataDxfId="153" dataCellStyle="Normal 2"/>
    <tableColumn id="30" xr3:uid="{214E4B54-9ADE-41BB-BCDB-82ED21070BC5}" name="Atom + Pymakr" dataDxfId="152" dataCellStyle="Normal 2"/>
    <tableColumn id="105" xr3:uid="{E0D1B511-E040-49C4-8435-AC331121B5F9}" name="Torque OBDPro App" dataDxfId="151" dataCellStyle="Normal 2"/>
    <tableColumn id="79" xr3:uid="{955F5612-2AD6-434B-8534-83C5249AD83A}" name="LevelDB" dataDxfId="150" dataCellStyle="Normal 2"/>
    <tableColumn id="68" xr3:uid="{067AD53F-0BE8-454F-804E-1212CEC87099}" name="Node-RED" dataDxfId="149" dataCellStyle="Normal 2"/>
    <tableColumn id="83" xr3:uid="{7531F5AF-DBEF-4CCF-AC37-A6CED07077B8}" name="InfluxDB" dataDxfId="148" dataCellStyle="Normal 2"/>
    <tableColumn id="84" xr3:uid="{B0D0DFD5-A3C0-4CAE-A8B2-ACF2D8A6D266}" name="Azure Blob Storage" dataDxfId="147" dataCellStyle="Normal 2"/>
    <tableColumn id="85" xr3:uid="{F8C54D49-D086-4E9F-A65E-5B4072B98E03}" name="MongoDB" dataDxfId="146" dataCellStyle="Normal 2"/>
    <tableColumn id="55" xr3:uid="{9FD7E666-37E0-45A8-BF2D-4FFCEEC9D712}" name="MQTT" dataDxfId="145" dataCellStyle="Normal 2"/>
    <tableColumn id="96" xr3:uid="{FC474788-EDF2-4ED3-9AE4-D5186A820263}" name="FTP" dataDxfId="144"/>
    <tableColumn id="97" xr3:uid="{7FE67CCB-2894-437D-99AA-391F3A8A4AA5}" name="AES (Advanced Encryption Standard)" dataDxfId="143"/>
    <tableColumn id="34" xr3:uid="{830F0A58-7270-47E6-A34D-13EE9EDF8208}" name="AWS S3 Storage" dataDxfId="142"/>
    <tableColumn id="108" xr3:uid="{05B1C954-9CBC-43B3-B5FB-917CCC99E56C}" name="Label Studio" dataDxfId="141" dataCellStyle="Normal 2"/>
    <tableColumn id="40" xr3:uid="{C46C4E66-EA80-405D-8EBB-B662D9EB7857}" name="DVC" dataDxfId="140" dataCellStyle="Normal 2"/>
    <tableColumn id="27" xr3:uid="{A632CC9B-23AE-4B2B-AF44-C296FCD9D8CC}" name="Fiware draco (Apache nifi)" dataDxfId="139" dataCellStyle="Normal 2"/>
    <tableColumn id="39" xr3:uid="{216F3B55-5235-4FCD-AB45-5E842741FC8B}" name="ulab Library" dataDxfId="138" dataCellStyle="Normal 2"/>
    <tableColumn id="19" xr3:uid="{7F85AC82-BA96-48A8-B59D-159F9CF081CA}" name="NumPy" dataDxfId="137" dataCellStyle="Normal 2"/>
    <tableColumn id="28" xr3:uid="{3B80ADF7-55EE-49E4-AE16-54E2C376FCDF}" name="SciPy" dataDxfId="136" dataCellStyle="Normal 2"/>
    <tableColumn id="36" xr3:uid="{D098C05F-E7BF-4432-A59A-D9D88251F81D}" name="tsfresh" dataDxfId="135" dataCellStyle="Normal 2"/>
    <tableColumn id="88" xr3:uid="{ACB6A0AE-82D3-41E3-8EC9-47B733C04ACE}" name="River" dataDxfId="134" dataCellStyle="Normal 2"/>
    <tableColumn id="59" xr3:uid="{0D01328B-B1CF-4B85-B93A-E5191A72D66A}" name="nalgebra" dataDxfId="133" dataCellStyle="Normal 2"/>
    <tableColumn id="35" xr3:uid="{055ECB65-F4D2-4205-B98E-8B7776579C18}" name="sktime" dataDxfId="132" dataCellStyle="Normal 2"/>
    <tableColumn id="18" xr3:uid="{644B88BF-6C5D-463F-A972-BBCEDBA3ED40}" name="OpenCV" dataDxfId="131" dataCellStyle="Normal 2"/>
    <tableColumn id="20" xr3:uid="{6BD2A024-946B-4C51-961A-06A3AC4A601E}" name="Pandas" dataDxfId="130" dataCellStyle="Normal 2"/>
    <tableColumn id="113" xr3:uid="{700B1AA8-253F-45C2-A8C0-CA2A5C2C766B}" name="Pickle4 Library (Python)" dataDxfId="129" dataCellStyle="Normal 2"/>
    <tableColumn id="9" xr3:uid="{03B2C203-3C78-46F2-9E1F-198791BCC767}" name="DSP Pipeline (Edge Impulse)" dataDxfId="128" dataCellStyle="Normal 2"/>
    <tableColumn id="4" xr3:uid="{C61544F3-6B67-4760-B2F0-88A25702619F}" name="Librosa" dataDxfId="127" dataCellStyle="Normal 2"/>
    <tableColumn id="118" xr3:uid="{B5FB5F67-90E2-4596-B0E2-F1027FF7A512}" name="Keras" dataDxfId="126"/>
    <tableColumn id="80" xr3:uid="{9B5A64F9-5D2F-4B99-8D8D-E3E5581E620F}" name="Tensorflow" dataDxfId="125" dataCellStyle="Normal 2"/>
    <tableColumn id="12" xr3:uid="{88E138A6-19EA-4CFB-BE67-C35E2D2C0248}" name="PyTorch" dataDxfId="124"/>
    <tableColumn id="76" xr3:uid="{19CD5EF9-C9E8-4C28-99F7-4A8177820DF0}" name="TensorRT" dataDxfId="123" dataCellStyle="Normal 2"/>
    <tableColumn id="13" xr3:uid="{4FF32FAA-797B-4832-9794-CF369E40C9AC}" name="Scikit-Learn" dataDxfId="122"/>
    <tableColumn id="70" xr3:uid="{A43F322C-B7C9-433F-830C-C1ED9FFE0546}" name="AutoML " dataDxfId="121" dataCellStyle="Normal 2"/>
    <tableColumn id="93" xr3:uid="{3D7DFD60-3DF4-408C-B94A-5734C5748C2A}" name="PULP‑TrainLib" dataDxfId="120" dataCellStyle="Normal 2"/>
    <tableColumn id="77" xr3:uid="{E17642D3-ECD5-4692-ACBD-937A2A766555}" name="Eigen (C++)" dataDxfId="119" dataCellStyle="Normal 2"/>
    <tableColumn id="71" xr3:uid="{D734C695-B990-4E54-B7B5-2478A861B210}" name="Edge Impulse EON tuner" dataDxfId="118" dataCellStyle="Normal 2"/>
    <tableColumn id="101" xr3:uid="{5E0014C6-4C67-44DF-9CAA-64775D216703}" name="Databricks (Azure)" dataDxfId="117" dataCellStyle="Normal 2"/>
    <tableColumn id="115" xr3:uid="{97A67AAB-2621-43A7-BF8B-B4FA8CF49F24}" name="Azure ML" dataDxfId="116"/>
    <tableColumn id="107" xr3:uid="{04A83078-843C-4BC3-B260-AB2093B4A8C8}" name="MLFlow" dataDxfId="115" dataCellStyle="Normal 2"/>
    <tableColumn id="78" xr3:uid="{5A283AD1-5D23-40BB-9EEB-C3F28A631553}" name="IoTNetEmu " dataDxfId="114" dataCellStyle="Normal 2"/>
    <tableColumn id="11" xr3:uid="{C559BF5E-649E-4C9E-A140-22760E185A4E}" name="Renode" dataDxfId="113" dataCellStyle="Normal 2"/>
    <tableColumn id="66" xr3:uid="{136C2A7F-3AEC-419E-BC0F-B131A83C9E7A}" name="U-TOE" dataDxfId="112" dataCellStyle="Normal 2"/>
    <tableColumn id="14" xr3:uid="{4BBAD618-2861-4E53-81D8-C44715733C29}" name="Tensorflow Lite" dataDxfId="111" dataCellStyle="Normal 2"/>
    <tableColumn id="10" xr3:uid="{79D1FB8D-AD2F-4656-940D-97DF93EC1254}" name="Tensorflow Lite Micro" dataDxfId="110" dataCellStyle="Normal 2"/>
    <tableColumn id="60" xr3:uid="{F43515BD-D484-45D6-A674-2AC82EC90FB8}" name="STM32Cube.AI" dataDxfId="109" dataCellStyle="Normal 2"/>
    <tableColumn id="67" xr3:uid="{1FCDF1EB-05E2-4121-8E8E-3B06749D9512}" name="FlatBuffers Parser" dataDxfId="108" dataCellStyle="Normal 2"/>
    <tableColumn id="72" xr3:uid="{25CE353F-3E65-43A5-AFE0-20C4A71FF33B}" name="RIOT-ML" dataDxfId="107" dataCellStyle="Normal 2"/>
    <tableColumn id="74" xr3:uid="{5C568CFC-ADD4-467E-9C96-9106CCE4BDFC}" name="Apache TVM" dataDxfId="106" dataCellStyle="Normal 2"/>
    <tableColumn id="75" xr3:uid="{9629CA6D-1131-4654-8E96-CCC56C74EE2D}" name="Clang / LLVM" dataDxfId="105" dataCellStyle="Normal 2"/>
    <tableColumn id="92" xr3:uid="{512E7674-9756-444B-A795-87BF83F20166}" name="Quantlib" dataDxfId="104" dataCellStyle="Normal 2"/>
    <tableColumn id="91" xr3:uid="{FD2B0767-03AD-4D0E-B9AC-29A6C1E1273E}" name="DORY" dataDxfId="103" dataCellStyle="Normal 2"/>
    <tableColumn id="25" xr3:uid="{9D878B9C-CFEE-4C37-850D-440FD0B57375}" name="Emlearn" dataDxfId="102" dataCellStyle="Normal 2"/>
    <tableColumn id="32" xr3:uid="{589629EE-94F2-4364-B0D7-EB28DA42C221}" name=" NNoM (Neural Network library on Microcontrollers)" dataDxfId="101" dataCellStyle="Normal 2"/>
    <tableColumn id="24" xr3:uid="{A54E03C2-DE95-44CB-8A1D-7C0D9822CCA3}" name="QNNPACK" dataDxfId="100" dataCellStyle="Normal 2"/>
    <tableColumn id="65" xr3:uid="{56FA710A-AFEF-41E0-901B-512033CEF0CF}" name="EloquentTinyML" dataDxfId="99" dataCellStyle="Normal 2"/>
    <tableColumn id="106" xr3:uid="{CB805BC2-DB85-467F-92AE-71459D5B162C}" name="ONNX" dataDxfId="98" dataCellStyle="Normal 2"/>
    <tableColumn id="37" xr3:uid="{2D409976-912B-4D13-AF56-E2C1FF2C2D00}" name="Grafana" dataDxfId="97" dataCellStyle="Normal 2"/>
    <tableColumn id="42" xr3:uid="{AAAF6720-4EB3-4DD4-9B68-9F5871DCDF71}" name="GitLab Logging" dataDxfId="96" dataCellStyle="Normal 2"/>
    <tableColumn id="21" xr3:uid="{5B5624AC-1BE7-4A82-A4D6-374B5AA96451}" name="LibSaga" dataDxfId="95" dataCellStyle="Normal 2"/>
    <tableColumn id="90" xr3:uid="{D9A90EA8-A1C6-491A-AA5D-C0CBC08BF472}" name="AWS QuickSight" dataDxfId="94" dataCellStyle="Normal 2"/>
    <tableColumn id="43" xr3:uid="{00A984FE-E7B7-4C93-8B12-ABA3E04DBA53}" name="REST API Monitoring" dataDxfId="93" dataCellStyle="Normal 2"/>
    <tableColumn id="15" xr3:uid="{1AB55B29-0D5D-44FB-8656-935DCF11477A}" name="GitLab" dataDxfId="92" dataCellStyle="Normal 2"/>
    <tableColumn id="26" xr3:uid="{D771327E-47CC-46BB-886E-89ED82D5451A}" name="Apache Airflow" dataDxfId="91" dataCellStyle="Normal 2"/>
    <tableColumn id="33" xr3:uid="{29472312-A672-4B49-9727-DFBC87E3EC44}" name="Mendix" dataDxfId="90" dataCellStyle="Normal 2"/>
    <tableColumn id="31" xr3:uid="{33AFD20E-13E3-4EB4-8134-ED1021EE7EE3}" name="AWS IoT Core" dataDxfId="89" dataCellStyle="Normal 2"/>
    <tableColumn id="87" xr3:uid="{5BE0ECA5-014D-45C3-AEA2-3630FDFF7B11}" name="NextGenGW " dataDxfId="88"/>
    <tableColumn id="41" xr3:uid="{CAD37DE1-A39B-470B-B654-9425F5EAE949}" name="AWS Lambda" dataDxfId="87"/>
    <tableColumn id="57" xr3:uid="{F064E0E1-3139-4AE0-A13E-2A537B74D2F4}" name="AWS Greengrass" dataDxfId="86"/>
    <tableColumn id="58" xr3:uid="{4D4598C2-ECFD-4AFC-BF9A-42E2B129F0C1}" name="AWS Console &amp; AWS SDK" dataDxfId="85"/>
    <tableColumn id="73" xr3:uid="{488EF3EA-7FBA-46A5-8847-28131078805F}" name="Azure IoT Central" dataDxfId="84" dataCellStyle="Normal 2"/>
    <tableColumn id="116" xr3:uid="{4C714349-C7C9-4111-95A4-72628E0F15C6}" name="Azure DevOps" dataDxfId="83" dataCellStyle="Normal 2"/>
    <tableColumn id="62" xr3:uid="{222BAE73-0C19-4A9D-989B-4418EBCAF38F}" name="GitLab CI/CD" dataDxfId="82" dataCellStyle="Normal 2"/>
    <tableColumn id="52" xr3:uid="{71F6430D-6EFE-410A-B0EF-4FDB36338E75}" name="Docker" dataDxfId="81" dataCellStyle="Normal 2"/>
    <tableColumn id="51" xr3:uid="{E9D3F7DC-FC1C-405F-8F71-876C2D006227}" name="Kubernetes" dataDxfId="80" dataCellStyle="Normal 2"/>
    <tableColumn id="111" xr3:uid="{03EC74A3-08CB-44A8-9CBB-BC9741698FD8}" name="Edge Impulse SDK" dataDxfId="79" dataCellStyle="Normal 2"/>
    <tableColumn id="22" xr3:uid="{ABDEEB66-AD55-4772-8D80-7A0A879EDF7F}" name="IPSO Objects" dataDxfId="78"/>
    <tableColumn id="120" xr3:uid="{D514A8B4-032B-4383-9ED2-2A906C5916AB}" name="WebAssembly" dataDxfId="77" dataCellStyle="Normal 2"/>
    <tableColumn id="56" xr3:uid="{3FEC3404-6532-4B2C-B998-39DFE0081DBF}" name="CoAP" dataDxfId="76" dataCellStyle="Normal 2"/>
    <tableColumn id="16" xr3:uid="{2117E753-2744-4693-8F24-FC31710D6818}" name="CBOR" dataDxfId="75" dataCellStyle="Normal 2"/>
    <tableColumn id="38" xr3:uid="{98376381-D45F-43C6-B46B-6E7E1A4C7D0C}" name="LwM2M" dataDxfId="74"/>
    <tableColumn id="44" xr3:uid="{8B8FE07F-2D3E-48E6-8D4A-77197C61F675}" name="Rune" dataDxfId="73"/>
    <tableColumn id="61" xr3:uid="{79F8E9A5-1AFF-4C03-94CC-F5A89E4E7E82}" name="Hammer" dataDxfId="72" dataCellStyle="Normal 2"/>
    <tableColumn id="109" xr3:uid="{FA59CDCF-E8E1-42F9-ABDF-F5CBEE8EECCC}" name="pySerialTransfer" dataDxfId="71"/>
    <tableColumn id="104" xr3:uid="{8B8CF1F8-AF31-4C5B-95E3-727EEC386BE6}" name="ESP-NOW" dataDxfId="70"/>
    <tableColumn id="64" xr3:uid="{23E36298-A9E0-40B9-9A59-EFA341372F7F}" name="ESP-IDF" dataDxfId="69"/>
    <tableColumn id="81" xr3:uid="{3FF1B231-3B34-4354-B80F-B8EA957BFA3B}" name="FITA: far-edge device management kubernetes" dataDxfId="68" dataCellStyle="Normal 2"/>
    <tableColumn id="29" xr3:uid="{8511516D-A45B-48A1-B9BA-EE48EB1861FC}" name="SUIT (Software Updates for Internet of Things)" dataDxfId="67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3BD22C-92DE-4FA8-9033-B3A993E669C2}" name="Tabelle1" displayName="Tabelle1" ref="B4:BL57" totalsRowShown="0" headerRowDxfId="66" dataDxfId="64" headerRowBorderDxfId="65" tableBorderDxfId="63">
  <autoFilter ref="B4:BL57" xr:uid="{BFE95DAA-C37C-2D45-92CD-39DD6FF56028}"/>
  <tableColumns count="63">
    <tableColumn id="1" xr3:uid="{B3B8FF70-C62A-4405-8B8F-282F600D692C}" name="ID" dataDxfId="62"/>
    <tableColumn id="2" xr3:uid="{D3C5A544-8ABC-479F-AAF0-CE5DED6C1F4D}" name="Title" dataDxfId="61"/>
    <tableColumn id="3" xr3:uid="{D6A40E59-4653-4518-8890-0EA4C06EAB32}" name="Author" dataDxfId="60"/>
    <tableColumn id="4" xr3:uid="{983C9015-F156-4B09-9992-B25A56C1C9DB}" name="Google Coral TPU" dataDxfId="59"/>
    <tableColumn id="5" xr3:uid="{79E14496-6876-4D77-B7ED-FD15A5465199}" name="nRF52840" dataDxfId="58"/>
    <tableColumn id="56" xr3:uid="{5F110FBC-0C70-4E12-A796-0CDB86FD25C9}" name="LM3S6965" dataDxfId="57" dataCellStyle="Normal 2"/>
    <tableColumn id="57" xr3:uid="{9139B74A-359D-411B-8503-58CA9A3C845E}" name="Arduino Uno" dataDxfId="56" dataCellStyle="Normal 2"/>
    <tableColumn id="8" xr3:uid="{E30CB644-AA5B-4C9F-A54B-F48EADBE55D8}" name="nRF9160" dataDxfId="55"/>
    <tableColumn id="37" xr3:uid="{4E4E1465-7640-4ADD-9620-A70B7EA16C34}" name="b-l072z-lrwan1" dataDxfId="54" dataCellStyle="Normal 2"/>
    <tableColumn id="38" xr3:uid="{97882F4F-CE0F-4360-88A0-4EB38A5AD981}" name="samr30-xpro" dataDxfId="53" dataCellStyle="Normal 2"/>
    <tableColumn id="44" xr3:uid="{3B049693-00F4-4208-919D-A19EE82B7F97}" name="nucleo-wl55jc" dataDxfId="52" dataCellStyle="Normal 2"/>
    <tableColumn id="66" xr3:uid="{921E5976-9532-4B14-8EB8-6111D96B4B0C}" name="Thunderboard Sense 2" dataDxfId="51" dataCellStyle="Normal 2"/>
    <tableColumn id="45" xr3:uid="{CD015E8B-F6D1-4A13-B09C-A76B57C852AD}" name="b-l475e-iot01a" dataDxfId="50" dataCellStyle="Normal 2"/>
    <tableColumn id="14" xr3:uid="{6D72F3C3-BEF7-4C8A-A192-C8936AE6922B}" name="Arduino Zero" dataDxfId="49" dataCellStyle="Normal 2"/>
    <tableColumn id="9" xr3:uid="{719DD77E-B508-4A33-91BA-44B066B0F98D}" name="Arm Cortex-M0+" dataDxfId="48"/>
    <tableColumn id="10" xr3:uid="{ADF19F36-ECDF-4C20-81EF-895E079377D6}" name="Raspberry Pi Pico" dataDxfId="47"/>
    <tableColumn id="61" xr3:uid="{73282ABA-6EE0-472A-B38F-7C09A09668AB}" name="Arduino Nano" dataDxfId="46" dataCellStyle="Normal 2"/>
    <tableColumn id="11" xr3:uid="{77224270-45E8-4A66-BE2C-60B13EF07A72}" name="Arduino Nano BLE 33" dataDxfId="45"/>
    <tableColumn id="62" xr3:uid="{24C33337-B4E9-4A5B-A280-BEFFB15DAE5E}" name="STM32F103C8T6" dataDxfId="44" dataCellStyle="Normal 2"/>
    <tableColumn id="12" xr3:uid="{2AEC07D3-AAB7-4D79-81B3-E7A061F258F6}" name="ESP8266" dataDxfId="43"/>
    <tableColumn id="13" xr3:uid="{6E900DA6-6613-4E18-93DA-6029E3576325}" name="ATSAMD21 Metro" dataDxfId="42"/>
    <tableColumn id="41" xr3:uid="{986758AF-E709-468A-A796-64C894483B49}" name="STM32L476JGY" dataDxfId="41"/>
    <tableColumn id="60" xr3:uid="{7F929381-27A4-428A-A67B-C0B3174B55E0}" name="nRF5340" dataDxfId="40" dataCellStyle="Normal 2"/>
    <tableColumn id="59" xr3:uid="{1F835F9F-B022-476F-AE59-7F6D5A59147E}" name="PyBadge" dataDxfId="39" dataCellStyle="Normal 2"/>
    <tableColumn id="58" xr3:uid="{6C6B180A-E0F1-4CB6-BEFD-6AB2D1083AA3}" name="STM32‑NUCLEO‑F401RE" dataDxfId="38" dataCellStyle="Normal 2"/>
    <tableColumn id="40" xr3:uid="{FBA05214-E9A1-40E7-965E-681E1435424C}" name="STM32F401" dataDxfId="37"/>
    <tableColumn id="16" xr3:uid="{30B9CEDD-A1CB-4EF4-A328-E21A6B3E7271}" name="STM32F10 Blue Pill" dataDxfId="36"/>
    <tableColumn id="17" xr3:uid="{376EDFCB-47E2-4B96-B3C4-EA39391509D4}" name="Teensy 4.0" dataDxfId="35"/>
    <tableColumn id="53" xr3:uid="{BE903F75-D125-45C2-8F03-00AB3E4DB05E}" name="Raspberry Pi Pico 2 " dataDxfId="34" dataCellStyle="Normal 2"/>
    <tableColumn id="18" xr3:uid="{DAB3BC1C-C55F-4957-9D0A-745129027FFF}" name="STM32 Nucleo H7" dataDxfId="33"/>
    <tableColumn id="55" xr3:uid="{23E5558C-0288-4A6D-B848-F495724A5160}" name="ATSAMV71" dataDxfId="32" dataCellStyle="Normal 2"/>
    <tableColumn id="54" xr3:uid="{CE5C3359-516E-4F8A-869B-3A5C0CD74CD3}" name="M5StickC Plus 2" dataDxfId="31" dataCellStyle="Normal 2"/>
    <tableColumn id="63" xr3:uid="{5762C82B-13DC-4C49-B4AB-5DF930357F78}" name="STM32F722ZE" dataDxfId="30" dataCellStyle="Normal 2"/>
    <tableColumn id="19" xr3:uid="{26A47DE5-F6C8-4287-AA27-04326B06C992}" name="STM32F746 Discovery" dataDxfId="29"/>
    <tableColumn id="47" xr3:uid="{4254D72A-DAF0-4D9A-A15E-E487C222A73C}" name="stm32f746g-disco" dataDxfId="28" dataCellStyle="Normal 2"/>
    <tableColumn id="20" xr3:uid="{E590A1E8-B4A4-4585-9B08-7BEFB2903787}" name="STM32-F746NG" dataDxfId="27"/>
    <tableColumn id="36" xr3:uid="{65FBF878-C630-4C27-A47B-A82BA117D59F}" name="STM32H743" dataDxfId="26"/>
    <tableColumn id="35" xr3:uid="{D2068C89-B72A-4E51-80D7-D305395DC7DE}" name="STM32H747" dataDxfId="25"/>
    <tableColumn id="39" xr3:uid="{38C7DDD0-E2FA-498F-975E-7E465057D93A}" name="STM32F767" dataDxfId="24"/>
    <tableColumn id="68" xr3:uid="{00CC1D3F-0D88-4383-8D22-D2F3E19499C2}" name="OpenMV Board" dataDxfId="23" dataCellStyle="Normal 2"/>
    <tableColumn id="21" xr3:uid="{4C9E7B91-E532-4326-BFA8-E6044A37A816}" name="Feather M4 Express " dataDxfId="22"/>
    <tableColumn id="22" xr3:uid="{2052A1B4-4D44-4A11-BDBC-D7D0116DC32D}" name="ESP32 DevKitC V4" dataDxfId="21"/>
    <tableColumn id="48" xr3:uid="{437ADDA7-76C9-4A66-A383-A96363DBABD8}" name="esp32-wroom-32" dataDxfId="20" dataCellStyle="Normal 2"/>
    <tableColumn id="49" xr3:uid="{AA92FFA4-E33A-422C-BED1-8E27DE170F6F}" name="sipeed-longan-nano" dataDxfId="19" dataCellStyle="Normal 2"/>
    <tableColumn id="50" xr3:uid="{56867B9D-60C7-4390-9546-56D3F9611984}" name="hifive1b" dataDxfId="18" dataCellStyle="Normal 2"/>
    <tableColumn id="23" xr3:uid="{A2950056-E704-4386-A7F3-758518D19AB0}" name="Adafruit HUZZAH32" dataDxfId="17"/>
    <tableColumn id="24" xr3:uid="{B153FAA0-4322-410A-BB0F-D965DDC5AEFD}" name="pycom FiPy board" dataDxfId="16"/>
    <tableColumn id="26" xr3:uid="{5A874406-0F57-4AD8-AA88-26B3F4B44E84}" name="Arm Cortex-M4 MCU" dataDxfId="15"/>
    <tableColumn id="65" xr3:uid="{B7944F83-4245-48AA-B93A-8746274883CA}" name="GreenWaves GAP9" dataDxfId="14" dataCellStyle="Normal 2"/>
    <tableColumn id="27" xr3:uid="{1FEF4444-CA9A-4C9A-A256-16E83F10125E}" name="ESP-EYE" dataDxfId="13"/>
    <tableColumn id="28" xr3:uid="{9963CF8D-8FD3-4F1F-AADC-F28555BA4070}" name="Arduino Portenta H7" dataDxfId="12"/>
    <tableColumn id="29" xr3:uid="{31953421-912A-4363-AFAB-33C84D07DC79}" name="ESP32" dataDxfId="11"/>
    <tableColumn id="67" xr3:uid="{CE1E4A95-73FC-450A-BB76-1346C28E9292}" name="Raspberry Pi Zero 2W" dataDxfId="10" dataCellStyle="Normal 2"/>
    <tableColumn id="30" xr3:uid="{E34A58F6-74AB-422B-AB6D-55870D128ACE}" name="Raspberry Pi 3B+" dataDxfId="9" dataCellStyle="Normal 2"/>
    <tableColumn id="31" xr3:uid="{57A26FCB-3C50-4D1C-B6E5-AF485E10665D}" name="Raspberry Pi 4B" dataDxfId="8"/>
    <tableColumn id="52" xr3:uid="{6B4FED4C-EFD8-407A-B086-D3B3DE8AFBA7}" name="Raspberry Pi 5" dataDxfId="7" dataCellStyle="Normal 2"/>
    <tableColumn id="64" xr3:uid="{654B9274-41B2-46BB-BB22-40AA1F09C236}" name="BeagleBone AI‑64" dataDxfId="6" dataCellStyle="Normal 2"/>
    <tableColumn id="32" xr3:uid="{FF93BD1D-844F-4055-9185-16AEBBE2136E}" name="NVIDIA Jetson Nano 2" dataDxfId="5"/>
    <tableColumn id="46" xr3:uid="{32738A74-7CE1-47F6-B2CA-D8731ACBC1E9}" name="NVIDIA Jetson Nano" dataDxfId="4" dataCellStyle="Normal 2"/>
    <tableColumn id="51" xr3:uid="{47CBFE31-537F-4B77-9D0B-306C05758797}" name="NVIDIA Jetson Orin Nano" dataDxfId="3" dataCellStyle="Normal 2"/>
    <tableColumn id="69" xr3:uid="{60374D22-3292-48A3-A4C9-11D50BC41051}" name="Nvidia Jetson Xavier NX" dataDxfId="2" dataCellStyle="Normal 2"/>
    <tableColumn id="33" xr3:uid="{86B2E4F4-F0F6-4EA2-9660-72602C9BE1CF}" name="NVIDIA Jetson AGX" dataDxfId="1"/>
    <tableColumn id="34" xr3:uid="{2486A242-CD63-4378-862A-84D621D9C5E3}" name="NVIDIA Jetson N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48550/arXiv.2212.03332" TargetMode="External"/><Relationship Id="rId18" Type="http://schemas.openxmlformats.org/officeDocument/2006/relationships/hyperlink" Target="https://doi.org/10.1109/MIC.2021.3133552" TargetMode="External"/><Relationship Id="rId26" Type="http://schemas.openxmlformats.org/officeDocument/2006/relationships/hyperlink" Target="https://doi.org/10.1109/TNNLS.2022.3229897" TargetMode="External"/><Relationship Id="rId39" Type="http://schemas.openxmlformats.org/officeDocument/2006/relationships/hyperlink" Target="https://doi.org/10.1145/3773282" TargetMode="External"/><Relationship Id="rId21" Type="http://schemas.openxmlformats.org/officeDocument/2006/relationships/hyperlink" Target="https://doi.org/10.1109/SWC50871.2021.00023" TargetMode="External"/><Relationship Id="rId34" Type="http://schemas.openxmlformats.org/officeDocument/2006/relationships/hyperlink" Target="https://doi.org/10.1016/j.compeleceng.2025.110761" TargetMode="External"/><Relationship Id="rId42" Type="http://schemas.openxmlformats.org/officeDocument/2006/relationships/hyperlink" Target="https://doi.org/10.1145/3736425.3772357" TargetMode="External"/><Relationship Id="rId47" Type="http://schemas.openxmlformats.org/officeDocument/2006/relationships/hyperlink" Target="https://doi.org/10.1109/SAS65169.2025.11105109" TargetMode="External"/><Relationship Id="rId50" Type="http://schemas.openxmlformats.org/officeDocument/2006/relationships/hyperlink" Target="https://doi.org/10.3390/asi8050141" TargetMode="External"/><Relationship Id="rId7" Type="http://schemas.openxmlformats.org/officeDocument/2006/relationships/hyperlink" Target="https://doi.org/10.1109/SENSORS60989.2024.10784905" TargetMode="External"/><Relationship Id="rId2" Type="http://schemas.openxmlformats.org/officeDocument/2006/relationships/hyperlink" Target="https://ieeexplore.ieee.org/abstract/document/10483145" TargetMode="External"/><Relationship Id="rId16" Type="http://schemas.openxmlformats.org/officeDocument/2006/relationships/hyperlink" Target="https://doi.org/10.1145/3624486.3624496" TargetMode="External"/><Relationship Id="rId29" Type="http://schemas.openxmlformats.org/officeDocument/2006/relationships/hyperlink" Target="https://doi.org/10.1016/j.neucom.2025.131720" TargetMode="External"/><Relationship Id="rId11" Type="http://schemas.openxmlformats.org/officeDocument/2006/relationships/hyperlink" Target="https://doi.org/10.1145/3578356.3592586" TargetMode="External"/><Relationship Id="rId24" Type="http://schemas.openxmlformats.org/officeDocument/2006/relationships/hyperlink" Target="https://doi.org/10.1145/3410992.3411014" TargetMode="External"/><Relationship Id="rId32" Type="http://schemas.openxmlformats.org/officeDocument/2006/relationships/hyperlink" Target="https://doi.org/10.1016/j.iot.2025.101498" TargetMode="External"/><Relationship Id="rId37" Type="http://schemas.openxmlformats.org/officeDocument/2006/relationships/hyperlink" Target="https://doi.org/10.1016/j.softx.2025.102224" TargetMode="External"/><Relationship Id="rId40" Type="http://schemas.openxmlformats.org/officeDocument/2006/relationships/hyperlink" Target="https://doi.org/10.3390/electronics14214311" TargetMode="External"/><Relationship Id="rId45" Type="http://schemas.openxmlformats.org/officeDocument/2006/relationships/hyperlink" Target="https://doi.org/10.1016/j.jnca.2025.104357" TargetMode="External"/><Relationship Id="rId5" Type="http://schemas.openxmlformats.org/officeDocument/2006/relationships/hyperlink" Target="https://doi.org/10.1145/3665278" TargetMode="External"/><Relationship Id="rId15" Type="http://schemas.openxmlformats.org/officeDocument/2006/relationships/hyperlink" Target="https://doi.org/10.1145/3417313.3429378" TargetMode="External"/><Relationship Id="rId23" Type="http://schemas.openxmlformats.org/officeDocument/2006/relationships/hyperlink" Target="https://doi.org/10.1109/JIOT.2023.3340858" TargetMode="External"/><Relationship Id="rId28" Type="http://schemas.openxmlformats.org/officeDocument/2006/relationships/hyperlink" Target="https://ceur-ws.org/Vol-4109/paper9.pdf" TargetMode="External"/><Relationship Id="rId36" Type="http://schemas.openxmlformats.org/officeDocument/2006/relationships/hyperlink" Target="https://doi.org/10.5281/zenodo.18494389" TargetMode="External"/><Relationship Id="rId49" Type="http://schemas.openxmlformats.org/officeDocument/2006/relationships/hyperlink" Target="https://doi.org/10.1109/MIOT.2025.3575927" TargetMode="External"/><Relationship Id="rId10" Type="http://schemas.openxmlformats.org/officeDocument/2006/relationships/hyperlink" Target="https://doi.org/10.1109/ACCESS.2022.3207200" TargetMode="External"/><Relationship Id="rId19" Type="http://schemas.openxmlformats.org/officeDocument/2006/relationships/hyperlink" Target="https://doi.org/10.1145/3617507" TargetMode="External"/><Relationship Id="rId31" Type="http://schemas.openxmlformats.org/officeDocument/2006/relationships/hyperlink" Target="https://doi.org/10.1109/BigData66926.2025.11401997" TargetMode="External"/><Relationship Id="rId44" Type="http://schemas.openxmlformats.org/officeDocument/2006/relationships/hyperlink" Target="https://doi.org/10.1016/j.future.2025.108194" TargetMode="External"/><Relationship Id="rId4" Type="http://schemas.openxmlformats.org/officeDocument/2006/relationships/hyperlink" Target="https://doi.org/10.1109/MM.2024.3354323" TargetMode="External"/><Relationship Id="rId9" Type="http://schemas.openxmlformats.org/officeDocument/2006/relationships/hyperlink" Target="https://doi.org/10.1109/MITP.2024.3421968" TargetMode="External"/><Relationship Id="rId14" Type="http://schemas.openxmlformats.org/officeDocument/2006/relationships/hyperlink" Target="https://doi.org/10.1109/IC2E52221.2021.00034" TargetMode="External"/><Relationship Id="rId22" Type="http://schemas.openxmlformats.org/officeDocument/2006/relationships/hyperlink" Target="https://doi.org/10.23919/SpliTech61897.2024.10612585" TargetMode="External"/><Relationship Id="rId27" Type="http://schemas.openxmlformats.org/officeDocument/2006/relationships/hyperlink" Target="https://doi.org/10.1145/3625687.3625804" TargetMode="External"/><Relationship Id="rId30" Type="http://schemas.openxmlformats.org/officeDocument/2006/relationships/hyperlink" Target="https://doi.org/10.3390/ai6120325" TargetMode="External"/><Relationship Id="rId35" Type="http://schemas.openxmlformats.org/officeDocument/2006/relationships/hyperlink" Target="https://inria.hal.science/hal-05304192/" TargetMode="External"/><Relationship Id="rId43" Type="http://schemas.openxmlformats.org/officeDocument/2006/relationships/hyperlink" Target="https://doi.org/10.1109/JIOT.2026.3654437" TargetMode="External"/><Relationship Id="rId48" Type="http://schemas.openxmlformats.org/officeDocument/2006/relationships/hyperlink" Target="https://doi.org/10.1109/IWQoS65803.2025.11143493" TargetMode="External"/><Relationship Id="rId8" Type="http://schemas.openxmlformats.org/officeDocument/2006/relationships/hyperlink" Target="https://doi.org/10.1145/3604566" TargetMode="External"/><Relationship Id="rId51" Type="http://schemas.openxmlformats.org/officeDocument/2006/relationships/hyperlink" Target="https://doi.org/10.1145/3680207.3765668" TargetMode="External"/><Relationship Id="rId3" Type="http://schemas.openxmlformats.org/officeDocument/2006/relationships/hyperlink" Target="https://ceur-ws.org/Vol-3702/paper38.pdf" TargetMode="External"/><Relationship Id="rId12" Type="http://schemas.openxmlformats.org/officeDocument/2006/relationships/hyperlink" Target="https://doi.org/10.48550/arXiv.2202.05057" TargetMode="External"/><Relationship Id="rId17" Type="http://schemas.openxmlformats.org/officeDocument/2006/relationships/hyperlink" Target="https://doi.org/10.1145/3462203.3475896" TargetMode="External"/><Relationship Id="rId25" Type="http://schemas.openxmlformats.org/officeDocument/2006/relationships/hyperlink" Target="https://doi.org/10.1109/VLSI-DAT52063.2021.9427352" TargetMode="External"/><Relationship Id="rId33" Type="http://schemas.openxmlformats.org/officeDocument/2006/relationships/hyperlink" Target="https://doi.org/10.1109/CIES64955.2025.11007628" TargetMode="External"/><Relationship Id="rId38" Type="http://schemas.openxmlformats.org/officeDocument/2006/relationships/hyperlink" Target="https://doi.org/10.1007/s00607-024-01388-6" TargetMode="External"/><Relationship Id="rId46" Type="http://schemas.openxmlformats.org/officeDocument/2006/relationships/hyperlink" Target="https://doi.org/10.1109/JSEN.2025.3544861" TargetMode="External"/><Relationship Id="rId20" Type="http://schemas.openxmlformats.org/officeDocument/2006/relationships/hyperlink" Target="https://doi.org/10.1109/ACCESS.2024.3492921" TargetMode="External"/><Relationship Id="rId41" Type="http://schemas.openxmlformats.org/officeDocument/2006/relationships/hyperlink" Target="https://doi.org/10.1109/SoutheastCon56624.2025.10971646" TargetMode="External"/><Relationship Id="rId1" Type="http://schemas.openxmlformats.org/officeDocument/2006/relationships/hyperlink" Target="https://doi.org/10.1109/EAIS51927.2022.9787703" TargetMode="External"/><Relationship Id="rId6" Type="http://schemas.openxmlformats.org/officeDocument/2006/relationships/hyperlink" Target="https://doi.org/10.1007/s12243-024-01041-5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workbookViewId="0">
      <selection activeCell="A52" sqref="A2:A52"/>
    </sheetView>
  </sheetViews>
  <sheetFormatPr defaultRowHeight="14.4" x14ac:dyDescent="0.3"/>
  <cols>
    <col min="11" max="11" width="8.88671875" style="2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177</v>
      </c>
      <c r="G1" t="s">
        <v>178</v>
      </c>
      <c r="H1" t="s">
        <v>179</v>
      </c>
      <c r="I1" t="s">
        <v>5</v>
      </c>
      <c r="J1" t="s">
        <v>6</v>
      </c>
      <c r="K1" s="2" t="s">
        <v>7</v>
      </c>
    </row>
    <row r="2" spans="1:11" x14ac:dyDescent="0.3">
      <c r="A2">
        <v>1</v>
      </c>
      <c r="B2" t="s">
        <v>8</v>
      </c>
      <c r="C2" t="s">
        <v>9</v>
      </c>
      <c r="D2" t="s">
        <v>10</v>
      </c>
      <c r="E2" s="1" t="s">
        <v>11</v>
      </c>
      <c r="F2">
        <v>2022</v>
      </c>
      <c r="G2" t="s">
        <v>12</v>
      </c>
      <c r="H2" t="s">
        <v>13</v>
      </c>
      <c r="I2" t="s">
        <v>14</v>
      </c>
      <c r="J2" t="s">
        <v>15</v>
      </c>
      <c r="K2" s="2" t="s">
        <v>16</v>
      </c>
    </row>
    <row r="3" spans="1:11" x14ac:dyDescent="0.3">
      <c r="A3">
        <v>2</v>
      </c>
      <c r="B3" t="s">
        <v>8</v>
      </c>
      <c r="C3" t="s">
        <v>17</v>
      </c>
      <c r="D3" t="s">
        <v>18</v>
      </c>
      <c r="E3" s="1" t="s">
        <v>19</v>
      </c>
      <c r="F3">
        <v>2023</v>
      </c>
      <c r="G3" t="s">
        <v>12</v>
      </c>
      <c r="H3" t="s">
        <v>13</v>
      </c>
      <c r="I3" t="s">
        <v>14</v>
      </c>
      <c r="J3" t="s">
        <v>15</v>
      </c>
      <c r="K3" s="2" t="s">
        <v>16</v>
      </c>
    </row>
    <row r="4" spans="1:11" x14ac:dyDescent="0.3">
      <c r="A4">
        <v>3</v>
      </c>
      <c r="B4" t="s">
        <v>8</v>
      </c>
      <c r="C4" t="s">
        <v>20</v>
      </c>
      <c r="D4" t="s">
        <v>21</v>
      </c>
      <c r="E4" s="1" t="s">
        <v>22</v>
      </c>
      <c r="F4">
        <v>2024</v>
      </c>
      <c r="G4" t="s">
        <v>23</v>
      </c>
      <c r="H4" t="s">
        <v>13</v>
      </c>
      <c r="I4" t="s">
        <v>14</v>
      </c>
      <c r="J4" t="s">
        <v>15</v>
      </c>
      <c r="K4" s="2" t="s">
        <v>16</v>
      </c>
    </row>
    <row r="5" spans="1:11" x14ac:dyDescent="0.3">
      <c r="A5">
        <v>4</v>
      </c>
      <c r="B5" t="s">
        <v>24</v>
      </c>
      <c r="C5" t="s">
        <v>25</v>
      </c>
      <c r="D5" t="s">
        <v>26</v>
      </c>
      <c r="E5" s="1" t="s">
        <v>27</v>
      </c>
      <c r="F5">
        <v>2024</v>
      </c>
      <c r="G5" t="s">
        <v>28</v>
      </c>
      <c r="H5" t="s">
        <v>29</v>
      </c>
      <c r="I5" t="s">
        <v>14</v>
      </c>
      <c r="J5" t="s">
        <v>15</v>
      </c>
      <c r="K5" s="2" t="s">
        <v>15</v>
      </c>
    </row>
    <row r="6" spans="1:11" x14ac:dyDescent="0.3">
      <c r="A6">
        <v>5</v>
      </c>
      <c r="B6" t="s">
        <v>24</v>
      </c>
      <c r="C6" t="s">
        <v>30</v>
      </c>
      <c r="D6" t="s">
        <v>31</v>
      </c>
      <c r="E6" s="1" t="s">
        <v>32</v>
      </c>
      <c r="F6">
        <v>2024</v>
      </c>
      <c r="G6" t="s">
        <v>28</v>
      </c>
      <c r="H6" t="s">
        <v>33</v>
      </c>
      <c r="I6" t="s">
        <v>14</v>
      </c>
      <c r="J6" t="s">
        <v>15</v>
      </c>
      <c r="K6" s="2" t="s">
        <v>16</v>
      </c>
    </row>
    <row r="7" spans="1:11" x14ac:dyDescent="0.3">
      <c r="A7">
        <v>6</v>
      </c>
      <c r="B7" t="s">
        <v>24</v>
      </c>
      <c r="C7" t="s">
        <v>34</v>
      </c>
      <c r="D7" t="s">
        <v>35</v>
      </c>
      <c r="E7" s="1" t="s">
        <v>36</v>
      </c>
      <c r="F7">
        <v>2024</v>
      </c>
      <c r="G7" t="s">
        <v>28</v>
      </c>
      <c r="H7" t="s">
        <v>37</v>
      </c>
      <c r="I7" t="s">
        <v>14</v>
      </c>
      <c r="J7" t="s">
        <v>15</v>
      </c>
      <c r="K7" s="2" t="s">
        <v>38</v>
      </c>
    </row>
    <row r="8" spans="1:11" x14ac:dyDescent="0.3">
      <c r="A8">
        <v>7</v>
      </c>
      <c r="B8" t="s">
        <v>24</v>
      </c>
      <c r="C8" t="s">
        <v>39</v>
      </c>
      <c r="D8" t="s">
        <v>40</v>
      </c>
      <c r="E8" s="1" t="s">
        <v>41</v>
      </c>
      <c r="F8">
        <v>2024</v>
      </c>
      <c r="G8" t="s">
        <v>28</v>
      </c>
      <c r="H8" t="s">
        <v>29</v>
      </c>
      <c r="I8" t="s">
        <v>14</v>
      </c>
      <c r="J8" t="s">
        <v>15</v>
      </c>
      <c r="K8" s="2" t="s">
        <v>16</v>
      </c>
    </row>
    <row r="9" spans="1:11" x14ac:dyDescent="0.3">
      <c r="A9">
        <v>8</v>
      </c>
      <c r="B9" t="s">
        <v>24</v>
      </c>
      <c r="C9" t="s">
        <v>42</v>
      </c>
      <c r="D9" t="s">
        <v>43</v>
      </c>
      <c r="E9" s="1" t="s">
        <v>44</v>
      </c>
      <c r="F9">
        <v>2024</v>
      </c>
      <c r="G9" t="s">
        <v>28</v>
      </c>
      <c r="H9" t="s">
        <v>33</v>
      </c>
      <c r="I9" t="s">
        <v>14</v>
      </c>
      <c r="J9" t="s">
        <v>15</v>
      </c>
      <c r="K9" s="2" t="s">
        <v>38</v>
      </c>
    </row>
    <row r="10" spans="1:11" x14ac:dyDescent="0.3">
      <c r="A10">
        <v>9</v>
      </c>
      <c r="B10" t="s">
        <v>24</v>
      </c>
      <c r="C10" t="s">
        <v>45</v>
      </c>
      <c r="D10" t="s">
        <v>46</v>
      </c>
      <c r="E10" s="1" t="s">
        <v>47</v>
      </c>
      <c r="F10">
        <v>2024</v>
      </c>
      <c r="G10" t="s">
        <v>28</v>
      </c>
      <c r="H10" t="s">
        <v>29</v>
      </c>
      <c r="I10" t="s">
        <v>14</v>
      </c>
      <c r="J10" t="s">
        <v>15</v>
      </c>
      <c r="K10" s="2" t="s">
        <v>16</v>
      </c>
    </row>
    <row r="11" spans="1:11" x14ac:dyDescent="0.3">
      <c r="A11">
        <v>10</v>
      </c>
      <c r="B11" t="s">
        <v>24</v>
      </c>
      <c r="C11" t="s">
        <v>48</v>
      </c>
      <c r="D11" t="s">
        <v>49</v>
      </c>
      <c r="E11" s="1" t="s">
        <v>50</v>
      </c>
      <c r="F11">
        <v>2022</v>
      </c>
      <c r="G11" t="s">
        <v>28</v>
      </c>
      <c r="H11" t="s">
        <v>29</v>
      </c>
      <c r="I11" t="s">
        <v>14</v>
      </c>
      <c r="J11" t="s">
        <v>15</v>
      </c>
      <c r="K11" s="2" t="s">
        <v>16</v>
      </c>
    </row>
    <row r="12" spans="1:11" x14ac:dyDescent="0.3">
      <c r="A12">
        <v>11</v>
      </c>
      <c r="B12" t="s">
        <v>24</v>
      </c>
      <c r="C12" t="s">
        <v>51</v>
      </c>
      <c r="D12" t="s">
        <v>52</v>
      </c>
      <c r="E12" s="1" t="s">
        <v>53</v>
      </c>
      <c r="F12">
        <v>2023</v>
      </c>
      <c r="G12" t="s">
        <v>23</v>
      </c>
      <c r="H12" t="s">
        <v>33</v>
      </c>
      <c r="I12" t="s">
        <v>14</v>
      </c>
      <c r="J12" t="s">
        <v>15</v>
      </c>
      <c r="K12" s="2" t="s">
        <v>54</v>
      </c>
    </row>
    <row r="13" spans="1:11" x14ac:dyDescent="0.3">
      <c r="A13">
        <v>12</v>
      </c>
      <c r="B13" t="s">
        <v>55</v>
      </c>
      <c r="C13" t="s">
        <v>56</v>
      </c>
      <c r="D13" t="s">
        <v>57</v>
      </c>
      <c r="E13" s="1" t="s">
        <v>58</v>
      </c>
      <c r="F13">
        <v>2021</v>
      </c>
      <c r="G13" t="s">
        <v>12</v>
      </c>
      <c r="I13" t="s">
        <v>14</v>
      </c>
      <c r="J13" t="s">
        <v>59</v>
      </c>
      <c r="K13" s="2" t="s">
        <v>54</v>
      </c>
    </row>
    <row r="14" spans="1:11" x14ac:dyDescent="0.3">
      <c r="A14">
        <v>13</v>
      </c>
      <c r="B14" t="s">
        <v>55</v>
      </c>
      <c r="C14" t="s">
        <v>60</v>
      </c>
      <c r="D14" t="s">
        <v>61</v>
      </c>
      <c r="E14" s="1" t="s">
        <v>62</v>
      </c>
      <c r="F14">
        <v>2021</v>
      </c>
      <c r="G14" t="s">
        <v>12</v>
      </c>
      <c r="I14" t="s">
        <v>14</v>
      </c>
      <c r="J14" t="s">
        <v>15</v>
      </c>
      <c r="K14" s="2" t="s">
        <v>16</v>
      </c>
    </row>
    <row r="15" spans="1:11" x14ac:dyDescent="0.3">
      <c r="A15">
        <v>14</v>
      </c>
      <c r="B15" t="s">
        <v>55</v>
      </c>
      <c r="C15" t="s">
        <v>63</v>
      </c>
      <c r="D15" t="s">
        <v>64</v>
      </c>
      <c r="E15" s="1" t="s">
        <v>65</v>
      </c>
      <c r="F15">
        <v>2023</v>
      </c>
      <c r="G15" t="s">
        <v>12</v>
      </c>
      <c r="I15" t="s">
        <v>14</v>
      </c>
      <c r="J15" t="s">
        <v>66</v>
      </c>
      <c r="K15" s="2" t="s">
        <v>16</v>
      </c>
    </row>
    <row r="16" spans="1:11" x14ac:dyDescent="0.3">
      <c r="A16">
        <v>15</v>
      </c>
      <c r="B16" t="s">
        <v>55</v>
      </c>
      <c r="C16" t="s">
        <v>67</v>
      </c>
      <c r="D16" t="s">
        <v>68</v>
      </c>
      <c r="E16" s="1" t="s">
        <v>69</v>
      </c>
      <c r="F16">
        <v>2021</v>
      </c>
      <c r="G16" t="s">
        <v>12</v>
      </c>
      <c r="I16" t="s">
        <v>14</v>
      </c>
      <c r="J16" t="s">
        <v>15</v>
      </c>
      <c r="K16" s="2" t="s">
        <v>16</v>
      </c>
    </row>
    <row r="17" spans="1:11" x14ac:dyDescent="0.3">
      <c r="A17">
        <v>16</v>
      </c>
      <c r="B17" t="s">
        <v>55</v>
      </c>
      <c r="C17" t="s">
        <v>70</v>
      </c>
      <c r="D17" t="s">
        <v>71</v>
      </c>
      <c r="E17" s="1" t="s">
        <v>72</v>
      </c>
      <c r="F17">
        <v>2020</v>
      </c>
      <c r="G17" t="s">
        <v>23</v>
      </c>
      <c r="I17" t="s">
        <v>14</v>
      </c>
      <c r="J17" t="s">
        <v>15</v>
      </c>
      <c r="K17" s="2" t="s">
        <v>73</v>
      </c>
    </row>
    <row r="18" spans="1:11" x14ac:dyDescent="0.3">
      <c r="A18">
        <v>17</v>
      </c>
      <c r="B18" t="s">
        <v>55</v>
      </c>
      <c r="C18" t="s">
        <v>74</v>
      </c>
      <c r="D18" t="s">
        <v>75</v>
      </c>
      <c r="E18" s="1" t="s">
        <v>76</v>
      </c>
      <c r="F18">
        <v>2023</v>
      </c>
      <c r="G18" t="s">
        <v>12</v>
      </c>
      <c r="I18" t="s">
        <v>14</v>
      </c>
      <c r="J18" t="s">
        <v>15</v>
      </c>
      <c r="K18" s="2" t="s">
        <v>38</v>
      </c>
    </row>
    <row r="19" spans="1:11" x14ac:dyDescent="0.3">
      <c r="A19">
        <v>18</v>
      </c>
      <c r="B19" t="s">
        <v>55</v>
      </c>
      <c r="C19" t="s">
        <v>77</v>
      </c>
      <c r="D19" t="s">
        <v>78</v>
      </c>
      <c r="E19" s="1" t="s">
        <v>79</v>
      </c>
      <c r="F19">
        <v>2021</v>
      </c>
      <c r="G19" t="s">
        <v>12</v>
      </c>
      <c r="I19" t="s">
        <v>14</v>
      </c>
      <c r="J19" t="s">
        <v>15</v>
      </c>
      <c r="K19" s="2" t="s">
        <v>16</v>
      </c>
    </row>
    <row r="20" spans="1:11" x14ac:dyDescent="0.3">
      <c r="A20">
        <v>19</v>
      </c>
      <c r="B20" t="s">
        <v>55</v>
      </c>
      <c r="C20" t="s">
        <v>80</v>
      </c>
      <c r="D20" t="s">
        <v>81</v>
      </c>
      <c r="E20" s="1" t="s">
        <v>82</v>
      </c>
      <c r="F20">
        <v>2022</v>
      </c>
      <c r="G20" t="s">
        <v>28</v>
      </c>
      <c r="I20" t="s">
        <v>14</v>
      </c>
      <c r="J20" t="s">
        <v>15</v>
      </c>
      <c r="K20" s="2" t="s">
        <v>73</v>
      </c>
    </row>
    <row r="21" spans="1:11" x14ac:dyDescent="0.3">
      <c r="A21">
        <v>20</v>
      </c>
      <c r="B21" t="s">
        <v>55</v>
      </c>
      <c r="C21" t="s">
        <v>83</v>
      </c>
      <c r="D21" t="s">
        <v>84</v>
      </c>
      <c r="E21" s="1" t="s">
        <v>85</v>
      </c>
      <c r="F21">
        <v>2023</v>
      </c>
      <c r="G21" t="s">
        <v>28</v>
      </c>
      <c r="I21" t="s">
        <v>14</v>
      </c>
      <c r="J21" t="s">
        <v>15</v>
      </c>
      <c r="K21" s="2" t="s">
        <v>16</v>
      </c>
    </row>
    <row r="22" spans="1:11" x14ac:dyDescent="0.3">
      <c r="A22">
        <v>21</v>
      </c>
      <c r="B22" t="s">
        <v>55</v>
      </c>
      <c r="C22" t="s">
        <v>86</v>
      </c>
      <c r="D22" t="s">
        <v>87</v>
      </c>
      <c r="E22" s="1" t="s">
        <v>88</v>
      </c>
      <c r="F22">
        <v>2024</v>
      </c>
      <c r="G22" t="s">
        <v>28</v>
      </c>
      <c r="I22" t="s">
        <v>14</v>
      </c>
      <c r="J22" t="s">
        <v>15</v>
      </c>
      <c r="K22" s="2" t="s">
        <v>16</v>
      </c>
    </row>
    <row r="23" spans="1:11" x14ac:dyDescent="0.3">
      <c r="A23">
        <v>22</v>
      </c>
      <c r="B23" t="s">
        <v>55</v>
      </c>
      <c r="C23" t="s">
        <v>89</v>
      </c>
      <c r="D23" t="s">
        <v>90</v>
      </c>
      <c r="E23" s="1" t="s">
        <v>91</v>
      </c>
      <c r="F23">
        <v>2021</v>
      </c>
      <c r="G23" t="s">
        <v>12</v>
      </c>
      <c r="I23" t="s">
        <v>14</v>
      </c>
      <c r="J23" t="s">
        <v>15</v>
      </c>
      <c r="K23" s="2" t="s">
        <v>16</v>
      </c>
    </row>
    <row r="24" spans="1:11" x14ac:dyDescent="0.3">
      <c r="A24">
        <v>24</v>
      </c>
      <c r="B24" t="s">
        <v>55</v>
      </c>
      <c r="C24" t="s">
        <v>92</v>
      </c>
      <c r="D24" t="s">
        <v>93</v>
      </c>
      <c r="E24" s="1" t="s">
        <v>94</v>
      </c>
      <c r="F24">
        <v>2024</v>
      </c>
      <c r="G24" t="s">
        <v>12</v>
      </c>
      <c r="I24" t="s">
        <v>14</v>
      </c>
      <c r="J24" t="s">
        <v>15</v>
      </c>
      <c r="K24" s="2" t="s">
        <v>16</v>
      </c>
    </row>
    <row r="25" spans="1:11" x14ac:dyDescent="0.3">
      <c r="A25">
        <v>25</v>
      </c>
      <c r="B25" t="s">
        <v>55</v>
      </c>
      <c r="C25" t="s">
        <v>95</v>
      </c>
      <c r="D25" t="s">
        <v>93</v>
      </c>
      <c r="E25" s="1" t="s">
        <v>96</v>
      </c>
      <c r="F25">
        <v>2024</v>
      </c>
      <c r="G25" t="s">
        <v>28</v>
      </c>
      <c r="I25" t="s">
        <v>14</v>
      </c>
      <c r="J25" t="s">
        <v>15</v>
      </c>
      <c r="K25" s="2" t="s">
        <v>16</v>
      </c>
    </row>
    <row r="26" spans="1:11" x14ac:dyDescent="0.3">
      <c r="A26">
        <v>26</v>
      </c>
      <c r="B26" t="s">
        <v>55</v>
      </c>
      <c r="C26" t="s">
        <v>97</v>
      </c>
      <c r="D26" t="s">
        <v>90</v>
      </c>
      <c r="E26" s="1" t="s">
        <v>98</v>
      </c>
      <c r="F26">
        <v>2020</v>
      </c>
      <c r="G26" t="s">
        <v>12</v>
      </c>
      <c r="I26" t="s">
        <v>14</v>
      </c>
      <c r="J26" t="s">
        <v>15</v>
      </c>
      <c r="K26" s="2" t="s">
        <v>16</v>
      </c>
    </row>
    <row r="27" spans="1:11" x14ac:dyDescent="0.3">
      <c r="A27">
        <v>28</v>
      </c>
      <c r="B27" t="s">
        <v>55</v>
      </c>
      <c r="C27" t="s">
        <v>99</v>
      </c>
      <c r="D27" t="s">
        <v>71</v>
      </c>
      <c r="E27" s="1" t="s">
        <v>100</v>
      </c>
      <c r="F27">
        <v>2022</v>
      </c>
      <c r="G27" t="s">
        <v>28</v>
      </c>
      <c r="I27" t="s">
        <v>14</v>
      </c>
      <c r="J27" t="s">
        <v>15</v>
      </c>
      <c r="K27" s="2" t="s">
        <v>16</v>
      </c>
    </row>
    <row r="28" spans="1:11" x14ac:dyDescent="0.3">
      <c r="A28">
        <v>29</v>
      </c>
      <c r="B28" t="s">
        <v>55</v>
      </c>
      <c r="C28" t="s">
        <v>101</v>
      </c>
      <c r="D28" t="s">
        <v>102</v>
      </c>
      <c r="E28" s="1" t="s">
        <v>103</v>
      </c>
      <c r="F28">
        <v>2023</v>
      </c>
      <c r="G28" t="s">
        <v>12</v>
      </c>
      <c r="I28" t="s">
        <v>14</v>
      </c>
      <c r="J28" t="s">
        <v>15</v>
      </c>
      <c r="K28" s="2" t="s">
        <v>16</v>
      </c>
    </row>
    <row r="29" spans="1:11" x14ac:dyDescent="0.3">
      <c r="A29">
        <v>30</v>
      </c>
      <c r="B29" t="s">
        <v>104</v>
      </c>
      <c r="C29" t="s">
        <v>105</v>
      </c>
      <c r="D29" t="s">
        <v>106</v>
      </c>
      <c r="E29" s="1" t="s">
        <v>107</v>
      </c>
      <c r="F29">
        <v>2025</v>
      </c>
      <c r="G29" t="s">
        <v>23</v>
      </c>
      <c r="I29" t="s">
        <v>14</v>
      </c>
      <c r="J29" t="s">
        <v>15</v>
      </c>
      <c r="K29" s="2" t="s">
        <v>16</v>
      </c>
    </row>
    <row r="30" spans="1:11" x14ac:dyDescent="0.3">
      <c r="A30">
        <v>31</v>
      </c>
      <c r="B30" t="s">
        <v>104</v>
      </c>
      <c r="C30" t="s">
        <v>108</v>
      </c>
      <c r="D30" t="s">
        <v>109</v>
      </c>
      <c r="E30" s="1" t="s">
        <v>110</v>
      </c>
      <c r="F30">
        <v>2026</v>
      </c>
      <c r="G30" t="s">
        <v>28</v>
      </c>
      <c r="I30" t="s">
        <v>14</v>
      </c>
      <c r="J30" t="s">
        <v>15</v>
      </c>
      <c r="K30" s="2" t="s">
        <v>16</v>
      </c>
    </row>
    <row r="31" spans="1:11" x14ac:dyDescent="0.3">
      <c r="A31">
        <v>32</v>
      </c>
      <c r="B31" t="s">
        <v>104</v>
      </c>
      <c r="C31" t="s">
        <v>111</v>
      </c>
      <c r="D31" t="s">
        <v>112</v>
      </c>
      <c r="E31" s="1" t="s">
        <v>113</v>
      </c>
      <c r="F31">
        <v>2025</v>
      </c>
      <c r="G31" t="s">
        <v>28</v>
      </c>
      <c r="I31" t="s">
        <v>14</v>
      </c>
      <c r="J31" t="s">
        <v>15</v>
      </c>
      <c r="K31" s="2" t="s">
        <v>73</v>
      </c>
    </row>
    <row r="32" spans="1:11" x14ac:dyDescent="0.3">
      <c r="A32">
        <v>33</v>
      </c>
      <c r="B32" t="s">
        <v>104</v>
      </c>
      <c r="C32" t="s">
        <v>114</v>
      </c>
      <c r="D32" t="s">
        <v>115</v>
      </c>
      <c r="E32" s="1" t="s">
        <v>116</v>
      </c>
      <c r="F32">
        <v>2025</v>
      </c>
      <c r="G32" t="s">
        <v>12</v>
      </c>
      <c r="I32" t="s">
        <v>14</v>
      </c>
      <c r="J32" t="s">
        <v>15</v>
      </c>
      <c r="K32" s="2" t="s">
        <v>16</v>
      </c>
    </row>
    <row r="33" spans="1:11" x14ac:dyDescent="0.3">
      <c r="A33">
        <v>34</v>
      </c>
      <c r="B33" t="s">
        <v>104</v>
      </c>
      <c r="C33" t="s">
        <v>117</v>
      </c>
      <c r="D33" t="s">
        <v>118</v>
      </c>
      <c r="E33" s="1" t="s">
        <v>119</v>
      </c>
      <c r="F33">
        <v>2025</v>
      </c>
      <c r="G33" t="s">
        <v>28</v>
      </c>
      <c r="I33" t="s">
        <v>14</v>
      </c>
      <c r="J33" t="s">
        <v>15</v>
      </c>
      <c r="K33" s="2" t="s">
        <v>38</v>
      </c>
    </row>
    <row r="34" spans="1:11" x14ac:dyDescent="0.3">
      <c r="A34">
        <v>35</v>
      </c>
      <c r="B34" t="s">
        <v>104</v>
      </c>
      <c r="C34" t="s">
        <v>120</v>
      </c>
      <c r="D34" t="s">
        <v>121</v>
      </c>
      <c r="E34" s="1" t="s">
        <v>122</v>
      </c>
      <c r="F34">
        <v>2025</v>
      </c>
      <c r="G34" t="s">
        <v>12</v>
      </c>
      <c r="I34" t="s">
        <v>14</v>
      </c>
      <c r="J34" t="s">
        <v>15</v>
      </c>
      <c r="K34" s="2" t="s">
        <v>15</v>
      </c>
    </row>
    <row r="35" spans="1:11" x14ac:dyDescent="0.3">
      <c r="A35">
        <v>36</v>
      </c>
      <c r="B35" t="s">
        <v>104</v>
      </c>
      <c r="C35" t="s">
        <v>123</v>
      </c>
      <c r="D35" t="s">
        <v>124</v>
      </c>
      <c r="E35" s="1" t="s">
        <v>125</v>
      </c>
      <c r="F35">
        <v>2025</v>
      </c>
      <c r="G35" t="s">
        <v>28</v>
      </c>
      <c r="I35" t="s">
        <v>14</v>
      </c>
      <c r="J35" t="s">
        <v>15</v>
      </c>
      <c r="K35" s="2" t="s">
        <v>15</v>
      </c>
    </row>
    <row r="36" spans="1:11" x14ac:dyDescent="0.3">
      <c r="A36">
        <v>37</v>
      </c>
      <c r="B36" t="s">
        <v>104</v>
      </c>
      <c r="C36" t="s">
        <v>126</v>
      </c>
      <c r="D36" t="s">
        <v>127</v>
      </c>
      <c r="E36" s="1" t="s">
        <v>128</v>
      </c>
      <c r="F36">
        <v>2025</v>
      </c>
      <c r="G36" t="s">
        <v>12</v>
      </c>
      <c r="I36" t="s">
        <v>14</v>
      </c>
      <c r="J36" t="s">
        <v>15</v>
      </c>
      <c r="K36" s="2" t="s">
        <v>16</v>
      </c>
    </row>
    <row r="37" spans="1:11" x14ac:dyDescent="0.3">
      <c r="A37">
        <v>38</v>
      </c>
      <c r="B37" t="s">
        <v>104</v>
      </c>
      <c r="C37" t="s">
        <v>129</v>
      </c>
      <c r="D37" t="s">
        <v>130</v>
      </c>
      <c r="E37" s="1" t="s">
        <v>131</v>
      </c>
      <c r="F37">
        <v>2025</v>
      </c>
      <c r="G37" t="s">
        <v>12</v>
      </c>
      <c r="I37" t="s">
        <v>14</v>
      </c>
      <c r="J37" t="s">
        <v>15</v>
      </c>
      <c r="K37" s="2" t="s">
        <v>16</v>
      </c>
    </row>
    <row r="38" spans="1:11" x14ac:dyDescent="0.3">
      <c r="A38">
        <v>39</v>
      </c>
      <c r="B38" t="s">
        <v>104</v>
      </c>
      <c r="C38" t="s">
        <v>132</v>
      </c>
      <c r="D38" t="s">
        <v>26</v>
      </c>
      <c r="E38" s="1" t="s">
        <v>133</v>
      </c>
      <c r="F38">
        <v>2025</v>
      </c>
      <c r="G38" t="s">
        <v>28</v>
      </c>
      <c r="I38" t="s">
        <v>14</v>
      </c>
      <c r="J38" t="s">
        <v>15</v>
      </c>
      <c r="K38" s="2" t="s">
        <v>16</v>
      </c>
    </row>
    <row r="39" spans="1:11" x14ac:dyDescent="0.3">
      <c r="A39">
        <v>40</v>
      </c>
      <c r="B39" t="s">
        <v>104</v>
      </c>
      <c r="C39" t="s">
        <v>134</v>
      </c>
      <c r="D39" t="s">
        <v>135</v>
      </c>
      <c r="E39" s="1" t="s">
        <v>136</v>
      </c>
      <c r="F39">
        <v>2025</v>
      </c>
      <c r="G39" t="s">
        <v>28</v>
      </c>
      <c r="I39" t="s">
        <v>14</v>
      </c>
      <c r="J39" t="s">
        <v>15</v>
      </c>
      <c r="K39" s="2" t="s">
        <v>16</v>
      </c>
    </row>
    <row r="40" spans="1:11" x14ac:dyDescent="0.3">
      <c r="A40">
        <v>42</v>
      </c>
      <c r="B40" t="s">
        <v>104</v>
      </c>
      <c r="C40" t="s">
        <v>137</v>
      </c>
      <c r="D40" t="s">
        <v>138</v>
      </c>
      <c r="E40" s="1" t="s">
        <v>139</v>
      </c>
      <c r="F40">
        <v>2026</v>
      </c>
      <c r="G40" t="s">
        <v>28</v>
      </c>
      <c r="I40" t="s">
        <v>14</v>
      </c>
      <c r="J40" t="s">
        <v>15</v>
      </c>
      <c r="K40" s="2" t="s">
        <v>16</v>
      </c>
    </row>
    <row r="41" spans="1:11" x14ac:dyDescent="0.3">
      <c r="A41">
        <v>43</v>
      </c>
      <c r="B41" t="s">
        <v>104</v>
      </c>
      <c r="C41" t="s">
        <v>140</v>
      </c>
      <c r="D41" t="s">
        <v>141</v>
      </c>
      <c r="E41" s="1" t="s">
        <v>142</v>
      </c>
      <c r="F41">
        <v>2025</v>
      </c>
      <c r="G41" t="s">
        <v>28</v>
      </c>
      <c r="I41" t="s">
        <v>14</v>
      </c>
      <c r="J41" t="s">
        <v>15</v>
      </c>
      <c r="K41" s="2" t="s">
        <v>73</v>
      </c>
    </row>
    <row r="42" spans="1:11" x14ac:dyDescent="0.3">
      <c r="A42">
        <v>44</v>
      </c>
      <c r="B42" t="s">
        <v>104</v>
      </c>
      <c r="C42" t="s">
        <v>143</v>
      </c>
      <c r="D42" t="s">
        <v>144</v>
      </c>
      <c r="E42" s="1" t="s">
        <v>145</v>
      </c>
      <c r="F42">
        <v>2025</v>
      </c>
      <c r="G42" t="s">
        <v>12</v>
      </c>
      <c r="I42" t="s">
        <v>14</v>
      </c>
      <c r="J42" t="s">
        <v>15</v>
      </c>
      <c r="K42" s="2" t="s">
        <v>73</v>
      </c>
    </row>
    <row r="43" spans="1:11" x14ac:dyDescent="0.3">
      <c r="A43">
        <v>45</v>
      </c>
      <c r="B43" t="s">
        <v>104</v>
      </c>
      <c r="C43" t="s">
        <v>146</v>
      </c>
      <c r="D43" t="s">
        <v>147</v>
      </c>
      <c r="E43" s="1" t="s">
        <v>148</v>
      </c>
      <c r="F43">
        <v>2025</v>
      </c>
      <c r="G43" t="s">
        <v>12</v>
      </c>
      <c r="I43" t="s">
        <v>14</v>
      </c>
      <c r="J43" t="s">
        <v>15</v>
      </c>
      <c r="K43" s="2" t="s">
        <v>16</v>
      </c>
    </row>
    <row r="44" spans="1:11" x14ac:dyDescent="0.3">
      <c r="A44">
        <v>46</v>
      </c>
      <c r="B44" t="s">
        <v>104</v>
      </c>
      <c r="C44" t="s">
        <v>149</v>
      </c>
      <c r="D44" t="s">
        <v>150</v>
      </c>
      <c r="E44" s="1" t="s">
        <v>151</v>
      </c>
      <c r="F44">
        <v>2026</v>
      </c>
      <c r="G44" t="s">
        <v>28</v>
      </c>
      <c r="I44" t="s">
        <v>14</v>
      </c>
      <c r="J44" t="s">
        <v>15</v>
      </c>
      <c r="K44" s="2" t="s">
        <v>15</v>
      </c>
    </row>
    <row r="45" spans="1:11" x14ac:dyDescent="0.3">
      <c r="A45">
        <v>47</v>
      </c>
      <c r="B45" t="s">
        <v>104</v>
      </c>
      <c r="C45" t="s">
        <v>152</v>
      </c>
      <c r="D45" t="s">
        <v>153</v>
      </c>
      <c r="E45" s="1" t="s">
        <v>154</v>
      </c>
      <c r="F45">
        <v>2026</v>
      </c>
      <c r="G45" t="s">
        <v>28</v>
      </c>
      <c r="I45" t="s">
        <v>14</v>
      </c>
      <c r="J45" t="s">
        <v>15</v>
      </c>
      <c r="K45" s="2" t="s">
        <v>73</v>
      </c>
    </row>
    <row r="46" spans="1:11" x14ac:dyDescent="0.3">
      <c r="A46">
        <v>48</v>
      </c>
      <c r="B46" t="s">
        <v>104</v>
      </c>
      <c r="C46" t="s">
        <v>155</v>
      </c>
      <c r="D46" t="s">
        <v>156</v>
      </c>
      <c r="E46" s="1" t="s">
        <v>157</v>
      </c>
      <c r="F46">
        <v>2025</v>
      </c>
      <c r="G46" t="s">
        <v>28</v>
      </c>
      <c r="I46" t="s">
        <v>14</v>
      </c>
      <c r="J46" t="s">
        <v>15</v>
      </c>
      <c r="K46" s="2" t="s">
        <v>16</v>
      </c>
    </row>
    <row r="47" spans="1:11" x14ac:dyDescent="0.3">
      <c r="A47">
        <v>49</v>
      </c>
      <c r="B47" t="s">
        <v>104</v>
      </c>
      <c r="C47" t="s">
        <v>158</v>
      </c>
      <c r="D47" t="s">
        <v>159</v>
      </c>
      <c r="E47" s="1" t="s">
        <v>160</v>
      </c>
      <c r="F47">
        <v>2025</v>
      </c>
      <c r="G47" t="s">
        <v>28</v>
      </c>
      <c r="I47" t="s">
        <v>14</v>
      </c>
      <c r="J47" t="s">
        <v>15</v>
      </c>
      <c r="K47" s="2" t="s">
        <v>16</v>
      </c>
    </row>
    <row r="48" spans="1:11" x14ac:dyDescent="0.3">
      <c r="A48">
        <v>50</v>
      </c>
      <c r="B48" t="s">
        <v>104</v>
      </c>
      <c r="C48" t="s">
        <v>161</v>
      </c>
      <c r="D48" t="s">
        <v>162</v>
      </c>
      <c r="E48" s="1" t="s">
        <v>163</v>
      </c>
      <c r="F48">
        <v>2025</v>
      </c>
      <c r="G48" t="s">
        <v>28</v>
      </c>
      <c r="I48" t="s">
        <v>14</v>
      </c>
      <c r="J48" t="s">
        <v>15</v>
      </c>
      <c r="K48" s="2" t="s">
        <v>73</v>
      </c>
    </row>
    <row r="49" spans="1:11" x14ac:dyDescent="0.3">
      <c r="A49">
        <v>51</v>
      </c>
      <c r="B49" t="s">
        <v>104</v>
      </c>
      <c r="C49" t="s">
        <v>164</v>
      </c>
      <c r="D49" t="s">
        <v>165</v>
      </c>
      <c r="E49" s="1" t="s">
        <v>166</v>
      </c>
      <c r="F49">
        <v>2025</v>
      </c>
      <c r="G49" t="s">
        <v>12</v>
      </c>
      <c r="I49" t="s">
        <v>14</v>
      </c>
      <c r="J49" t="s">
        <v>15</v>
      </c>
      <c r="K49" s="2" t="s">
        <v>16</v>
      </c>
    </row>
    <row r="50" spans="1:11" x14ac:dyDescent="0.3">
      <c r="A50">
        <v>52</v>
      </c>
      <c r="B50" t="s">
        <v>167</v>
      </c>
      <c r="C50" t="s">
        <v>168</v>
      </c>
      <c r="D50" t="s">
        <v>169</v>
      </c>
      <c r="E50" s="1" t="s">
        <v>170</v>
      </c>
      <c r="F50">
        <v>2025</v>
      </c>
      <c r="G50" t="s">
        <v>28</v>
      </c>
      <c r="H50" t="s">
        <v>13</v>
      </c>
      <c r="I50" t="s">
        <v>14</v>
      </c>
      <c r="J50" t="s">
        <v>15</v>
      </c>
      <c r="K50" s="2" t="s">
        <v>16</v>
      </c>
    </row>
    <row r="51" spans="1:11" x14ac:dyDescent="0.3">
      <c r="A51">
        <v>53</v>
      </c>
      <c r="B51" t="s">
        <v>167</v>
      </c>
      <c r="C51" t="s">
        <v>171</v>
      </c>
      <c r="D51" t="s">
        <v>172</v>
      </c>
      <c r="E51" s="1" t="s">
        <v>173</v>
      </c>
      <c r="F51">
        <v>2025</v>
      </c>
      <c r="G51" t="s">
        <v>28</v>
      </c>
      <c r="H51" t="s">
        <v>13</v>
      </c>
      <c r="I51" t="s">
        <v>14</v>
      </c>
      <c r="J51" t="s">
        <v>15</v>
      </c>
      <c r="K51" s="2" t="s">
        <v>16</v>
      </c>
    </row>
    <row r="52" spans="1:11" x14ac:dyDescent="0.3">
      <c r="A52">
        <v>54</v>
      </c>
      <c r="B52" t="s">
        <v>167</v>
      </c>
      <c r="C52" t="s">
        <v>174</v>
      </c>
      <c r="D52" t="s">
        <v>175</v>
      </c>
      <c r="E52" s="1" t="s">
        <v>176</v>
      </c>
      <c r="F52">
        <v>2025</v>
      </c>
      <c r="G52" t="s">
        <v>12</v>
      </c>
      <c r="H52" t="s">
        <v>13</v>
      </c>
      <c r="I52" t="s">
        <v>14</v>
      </c>
      <c r="J52" t="s">
        <v>15</v>
      </c>
      <c r="K52" s="2" t="s">
        <v>38</v>
      </c>
    </row>
  </sheetData>
  <hyperlinks>
    <hyperlink ref="E2" r:id="rId1" xr:uid="{DEE93973-4FCF-48F0-A09E-F8D445E6B615}"/>
    <hyperlink ref="E3" r:id="rId2" xr:uid="{C931D36C-12DE-4FAC-BCAD-0BC480ADC004}"/>
    <hyperlink ref="E4" r:id="rId3" xr:uid="{7FE09899-7783-45DC-B82E-C968F13173D5}"/>
    <hyperlink ref="E5" r:id="rId4" xr:uid="{D5441FAA-A7F8-417C-B8EE-DB772AECE2F1}"/>
    <hyperlink ref="E6" r:id="rId5" xr:uid="{6704C08A-0EE1-4891-A05B-780C462DD39B}"/>
    <hyperlink ref="E7" r:id="rId6" xr:uid="{F225E76E-8B74-41F2-A0D8-B69AD4B6328A}"/>
    <hyperlink ref="E8" r:id="rId7" xr:uid="{ECC97D32-5034-40D1-AEDC-B2FDE79DE53B}"/>
    <hyperlink ref="E9" r:id="rId8" xr:uid="{3B418622-4D5B-472D-9693-63F880ED5502}"/>
    <hyperlink ref="E10" r:id="rId9" xr:uid="{EBC094CF-D386-4000-9B31-D177AB9A301D}"/>
    <hyperlink ref="E11" r:id="rId10" xr:uid="{3B09463F-0898-4A56-B5F8-990547C01F52}"/>
    <hyperlink ref="E12" r:id="rId11" xr:uid="{557ED9C9-8719-400D-AEC9-9F962348D9F4}"/>
    <hyperlink ref="E14" r:id="rId12" xr:uid="{C4AFA6ED-0053-4E5D-9DD3-2E7566E2CE5A}"/>
    <hyperlink ref="E15" r:id="rId13" xr:uid="{5519293A-3DB7-4500-BF2E-D8CB60A4B7C5}"/>
    <hyperlink ref="E16" r:id="rId14" xr:uid="{AA30F006-EFEA-4245-9C4A-550282BD3585}"/>
    <hyperlink ref="E17" r:id="rId15" xr:uid="{D1C66F6A-6970-41B4-B0CC-706D2109A7B0}"/>
    <hyperlink ref="E18" r:id="rId16" xr:uid="{6FFCADBF-FD64-43F1-85D9-F1754578C546}"/>
    <hyperlink ref="E19" r:id="rId17" xr:uid="{A4A2B4A5-D6CB-4FD9-9A7B-3F93AADD3811}"/>
    <hyperlink ref="E20" r:id="rId18" xr:uid="{0EDB93BE-6906-4C13-BA0E-E9055D3578C4}"/>
    <hyperlink ref="E21" r:id="rId19" xr:uid="{F7E4F2F0-E21C-4B59-89D3-DA679C87E6AB}"/>
    <hyperlink ref="E22" r:id="rId20" xr:uid="{FBA830B5-BCE3-4705-AD1A-4F0B3B53BE2A}"/>
    <hyperlink ref="E23" r:id="rId21" xr:uid="{1A793AE3-0585-4E10-B80D-377CF92C0867}"/>
    <hyperlink ref="E24" r:id="rId22" xr:uid="{90EF3576-ADD1-48BA-B95F-253ACC5C778E}"/>
    <hyperlink ref="E25" r:id="rId23" xr:uid="{3D23C2B5-C266-43E1-BDEF-3BDBA3717018}"/>
    <hyperlink ref="E26" r:id="rId24" xr:uid="{7F17F04C-8FA1-484B-98E8-A1CE45BD85E1}"/>
    <hyperlink ref="E13" r:id="rId25" xr:uid="{EAFBECED-526F-4595-A0B9-ED56BD62AC57}"/>
    <hyperlink ref="E27" r:id="rId26" xr:uid="{D50DD228-02D1-4A50-9245-6A57823DE2CF}"/>
    <hyperlink ref="E28" r:id="rId27" xr:uid="{F89DC0E8-93E7-4AEE-8615-91A8D754CB93}"/>
    <hyperlink ref="E29" r:id="rId28" xr:uid="{280E6553-A2C2-4FFB-9D34-6767921782CA}"/>
    <hyperlink ref="E30" r:id="rId29" xr:uid="{BE7867B6-261B-42D1-B07C-BF7F15ADDA1D}"/>
    <hyperlink ref="E31" r:id="rId30" xr:uid="{F4335FD1-21FA-4CF3-B48B-B3F05B3A36F6}"/>
    <hyperlink ref="E32" r:id="rId31" xr:uid="{3551C2A1-10DE-4B9B-97F9-11FCB5F2F5A2}"/>
    <hyperlink ref="E33" r:id="rId32" xr:uid="{78219505-0BD4-4FF3-A5DA-1587BF900545}"/>
    <hyperlink ref="E34" r:id="rId33" xr:uid="{74383130-F628-41DC-8A7D-A8EBBDA58C6C}"/>
    <hyperlink ref="E35" r:id="rId34" xr:uid="{A8EA9628-1C62-4EA7-A5E9-01A59EA70186}"/>
    <hyperlink ref="E36" r:id="rId35" xr:uid="{D1FF63E9-0152-4821-B33E-0F04CC34BD74}"/>
    <hyperlink ref="E37" r:id="rId36" xr:uid="{375BC2D3-0827-4815-B641-075D4DBCC23C}"/>
    <hyperlink ref="E38" r:id="rId37" xr:uid="{26AA7621-9E1E-493C-847C-0185A9389A39}"/>
    <hyperlink ref="E39" r:id="rId38" xr:uid="{EE9AEFEE-112C-46CB-9DB0-6DEF59513037}"/>
    <hyperlink ref="E40" r:id="rId39" xr:uid="{A6B6BF57-67CF-499B-A5B6-1C4C8FA6A9C8}"/>
    <hyperlink ref="E41" r:id="rId40" xr:uid="{E1FA4D10-752F-4477-BD9B-438F8E093677}"/>
    <hyperlink ref="E42" r:id="rId41" xr:uid="{123579C8-C709-4E39-A440-3BE8D3ADA22B}"/>
    <hyperlink ref="E43" r:id="rId42" xr:uid="{96E52785-1AC5-4FB6-812D-5A86A134973A}"/>
    <hyperlink ref="E44" r:id="rId43" xr:uid="{A7C206A0-620F-4130-846E-BBD42CD96084}"/>
    <hyperlink ref="E45" r:id="rId44" xr:uid="{4C80CA3A-5EA7-4B7B-A594-C4F94185A69E}"/>
    <hyperlink ref="E46" r:id="rId45" xr:uid="{4FD86E4B-4824-4BE0-B0CF-C7C3FC007E40}"/>
    <hyperlink ref="E47" r:id="rId46" xr:uid="{536497D4-E326-4277-9475-63A70E66CAF4}"/>
    <hyperlink ref="E48" r:id="rId47" xr:uid="{48F1AB32-CAE6-4CAC-A4E4-176D718FEEBC}"/>
    <hyperlink ref="E49" r:id="rId48" xr:uid="{9EC3D811-C37F-4BDF-9FD8-4B58B2AD72FC}"/>
    <hyperlink ref="E50" r:id="rId49" xr:uid="{747F137B-5A63-4CC9-897F-DBCB001A5FAB}"/>
    <hyperlink ref="E51" r:id="rId50" xr:uid="{A2ED7B96-F509-4FED-B3B0-328E5C3A5813}"/>
    <hyperlink ref="E52" r:id="rId51" xr:uid="{5BAB1D33-8C43-45FA-9A7F-5F5F58376D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FF2B-B981-485B-98F0-FCCBA32C717D}">
  <dimension ref="A1:AY61"/>
  <sheetViews>
    <sheetView tabSelected="1"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V5" sqref="V5"/>
    </sheetView>
  </sheetViews>
  <sheetFormatPr defaultColWidth="13.33203125" defaultRowHeight="27" customHeight="1" x14ac:dyDescent="0.3"/>
  <cols>
    <col min="1" max="1" width="21.5546875" style="3" customWidth="1"/>
    <col min="2" max="2" width="6.5546875" style="4" customWidth="1"/>
    <col min="3" max="3" width="29.6640625" style="5" customWidth="1"/>
    <col min="4" max="4" width="18.33203125" style="5" customWidth="1"/>
    <col min="5" max="29" width="8.77734375" style="3" customWidth="1"/>
    <col min="30" max="35" width="8.77734375" style="2" customWidth="1"/>
    <col min="36" max="41" width="8.77734375" style="3" customWidth="1"/>
    <col min="42" max="45" width="8.77734375" style="2" customWidth="1"/>
    <col min="46" max="46" width="6.88671875" style="3" customWidth="1"/>
    <col min="47" max="51" width="13.33203125" style="2"/>
    <col min="52" max="57" width="6.88671875" style="3" customWidth="1"/>
    <col min="58" max="16384" width="13.33203125" style="3"/>
  </cols>
  <sheetData>
    <row r="1" spans="1:51" ht="27" customHeight="1" thickBot="1" x14ac:dyDescent="0.35">
      <c r="N1" s="6"/>
      <c r="AD1" s="3"/>
      <c r="AE1" s="3"/>
      <c r="AF1" s="3"/>
      <c r="AG1" s="3"/>
      <c r="AH1" s="3"/>
      <c r="AI1" s="3"/>
      <c r="AL1" s="7"/>
      <c r="AO1" s="6"/>
      <c r="AP1" s="6"/>
      <c r="AQ1" s="6"/>
      <c r="AR1" s="6"/>
      <c r="AS1" s="8"/>
      <c r="AU1" s="3"/>
      <c r="AV1" s="3"/>
      <c r="AW1" s="3"/>
      <c r="AX1" s="3"/>
      <c r="AY1" s="3"/>
    </row>
    <row r="2" spans="1:51" ht="27" customHeight="1" thickBot="1" x14ac:dyDescent="0.35">
      <c r="B2" s="188" t="s">
        <v>180</v>
      </c>
      <c r="C2" s="189"/>
      <c r="D2" s="190"/>
      <c r="E2" s="191" t="s">
        <v>181</v>
      </c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3"/>
      <c r="U2" s="191" t="s">
        <v>182</v>
      </c>
      <c r="V2" s="192"/>
      <c r="W2" s="192"/>
      <c r="X2" s="192"/>
      <c r="Y2" s="192"/>
      <c r="Z2" s="192"/>
      <c r="AA2" s="192"/>
      <c r="AB2" s="192"/>
      <c r="AC2" s="192"/>
      <c r="AD2" s="191" t="s">
        <v>183</v>
      </c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3"/>
      <c r="AU2" s="3"/>
      <c r="AV2" s="3"/>
      <c r="AW2" s="3"/>
      <c r="AX2" s="3"/>
      <c r="AY2" s="3"/>
    </row>
    <row r="3" spans="1:51" ht="27" customHeight="1" x14ac:dyDescent="0.3">
      <c r="B3" s="194"/>
      <c r="C3" s="195"/>
      <c r="D3" s="196"/>
      <c r="E3" s="185" t="s">
        <v>184</v>
      </c>
      <c r="F3" s="185"/>
      <c r="G3" s="185"/>
      <c r="H3" s="185"/>
      <c r="I3" s="185"/>
      <c r="J3" s="186"/>
      <c r="K3" s="184" t="s">
        <v>185</v>
      </c>
      <c r="L3" s="185"/>
      <c r="M3" s="186"/>
      <c r="N3" s="185" t="s">
        <v>186</v>
      </c>
      <c r="O3" s="185"/>
      <c r="P3" s="185"/>
      <c r="Q3" s="185"/>
      <c r="R3" s="185"/>
      <c r="S3" s="185"/>
      <c r="T3" s="185"/>
      <c r="U3" s="184" t="s">
        <v>187</v>
      </c>
      <c r="V3" s="185"/>
      <c r="W3" s="186"/>
      <c r="X3" s="184" t="s">
        <v>188</v>
      </c>
      <c r="Y3" s="185"/>
      <c r="Z3" s="186"/>
      <c r="AA3" s="184" t="s">
        <v>189</v>
      </c>
      <c r="AB3" s="185"/>
      <c r="AC3" s="185"/>
      <c r="AD3" s="184" t="s">
        <v>190</v>
      </c>
      <c r="AE3" s="185"/>
      <c r="AF3" s="185"/>
      <c r="AG3" s="185"/>
      <c r="AH3" s="185"/>
      <c r="AI3" s="185"/>
      <c r="AJ3" s="185"/>
      <c r="AK3" s="185"/>
      <c r="AL3" s="186"/>
      <c r="AM3" s="184" t="s">
        <v>191</v>
      </c>
      <c r="AN3" s="185"/>
      <c r="AO3" s="185"/>
      <c r="AP3" s="185"/>
      <c r="AQ3" s="185"/>
      <c r="AR3" s="185"/>
      <c r="AS3" s="186"/>
      <c r="AU3" s="3"/>
      <c r="AV3" s="3"/>
      <c r="AW3" s="3"/>
      <c r="AX3" s="3"/>
      <c r="AY3" s="3"/>
    </row>
    <row r="4" spans="1:51" ht="173.4" customHeight="1" thickBot="1" x14ac:dyDescent="0.35">
      <c r="B4" s="9" t="s">
        <v>0</v>
      </c>
      <c r="C4" s="10" t="s">
        <v>192</v>
      </c>
      <c r="D4" s="11" t="s">
        <v>3</v>
      </c>
      <c r="E4" s="12" t="s">
        <v>193</v>
      </c>
      <c r="F4" s="12" t="s">
        <v>194</v>
      </c>
      <c r="G4" s="12" t="s">
        <v>195</v>
      </c>
      <c r="H4" s="12" t="s">
        <v>196</v>
      </c>
      <c r="I4" s="12" t="s">
        <v>197</v>
      </c>
      <c r="J4" s="14" t="s">
        <v>198</v>
      </c>
      <c r="K4" s="13" t="s">
        <v>199</v>
      </c>
      <c r="L4" s="12" t="s">
        <v>200</v>
      </c>
      <c r="M4" s="14" t="s">
        <v>201</v>
      </c>
      <c r="N4" s="15" t="s">
        <v>202</v>
      </c>
      <c r="O4" s="16" t="s">
        <v>203</v>
      </c>
      <c r="P4" s="16" t="s">
        <v>204</v>
      </c>
      <c r="Q4" s="16" t="s">
        <v>205</v>
      </c>
      <c r="R4" s="16" t="s">
        <v>206</v>
      </c>
      <c r="S4" s="16" t="s">
        <v>207</v>
      </c>
      <c r="T4" s="17" t="s">
        <v>208</v>
      </c>
      <c r="U4" s="13" t="s">
        <v>209</v>
      </c>
      <c r="V4" s="20" t="s">
        <v>430</v>
      </c>
      <c r="W4" s="14" t="s">
        <v>210</v>
      </c>
      <c r="X4" s="18" t="s">
        <v>211</v>
      </c>
      <c r="Y4" s="16" t="s">
        <v>212</v>
      </c>
      <c r="Z4" s="19" t="s">
        <v>213</v>
      </c>
      <c r="AA4" s="13" t="s">
        <v>214</v>
      </c>
      <c r="AB4" s="12" t="s">
        <v>215</v>
      </c>
      <c r="AC4" s="83" t="s">
        <v>216</v>
      </c>
      <c r="AD4" s="13" t="s">
        <v>217</v>
      </c>
      <c r="AE4" s="12" t="s">
        <v>218</v>
      </c>
      <c r="AF4" s="12" t="s">
        <v>219</v>
      </c>
      <c r="AG4" s="16" t="s">
        <v>220</v>
      </c>
      <c r="AH4" s="16" t="s">
        <v>221</v>
      </c>
      <c r="AI4" s="16" t="s">
        <v>429</v>
      </c>
      <c r="AJ4" s="16" t="s">
        <v>222</v>
      </c>
      <c r="AK4" s="17" t="s">
        <v>223</v>
      </c>
      <c r="AL4" s="19" t="s">
        <v>224</v>
      </c>
      <c r="AM4" s="18" t="s">
        <v>225</v>
      </c>
      <c r="AN4" s="16" t="s">
        <v>226</v>
      </c>
      <c r="AO4" s="16" t="s">
        <v>227</v>
      </c>
      <c r="AP4" s="16" t="s">
        <v>228</v>
      </c>
      <c r="AQ4" s="16" t="s">
        <v>229</v>
      </c>
      <c r="AR4" s="16" t="s">
        <v>230</v>
      </c>
      <c r="AS4" s="19" t="s">
        <v>231</v>
      </c>
      <c r="AU4" s="3"/>
      <c r="AV4" s="3"/>
      <c r="AW4" s="3"/>
      <c r="AX4" s="3"/>
      <c r="AY4" s="3"/>
    </row>
    <row r="5" spans="1:51" ht="27" customHeight="1" x14ac:dyDescent="0.3">
      <c r="A5" s="187" t="s">
        <v>232</v>
      </c>
      <c r="B5" s="21">
        <v>1</v>
      </c>
      <c r="C5" s="22" t="s">
        <v>9</v>
      </c>
      <c r="D5" s="23" t="s">
        <v>10</v>
      </c>
      <c r="E5" s="24" t="s">
        <v>233</v>
      </c>
      <c r="F5" s="25"/>
      <c r="G5" s="26" t="s">
        <v>233</v>
      </c>
      <c r="H5" s="27" t="s">
        <v>233</v>
      </c>
      <c r="I5" s="25"/>
      <c r="J5" s="28"/>
      <c r="K5" s="29" t="s">
        <v>233</v>
      </c>
      <c r="L5" s="25"/>
      <c r="M5" s="30"/>
      <c r="N5" s="25"/>
      <c r="O5" s="27"/>
      <c r="P5" s="25"/>
      <c r="Q5" s="25"/>
      <c r="R5" s="25"/>
      <c r="S5" s="27"/>
      <c r="T5" s="25" t="s">
        <v>233</v>
      </c>
      <c r="U5" s="31"/>
      <c r="V5" s="24" t="s">
        <v>233</v>
      </c>
      <c r="W5" s="32"/>
      <c r="X5" s="29" t="s">
        <v>233</v>
      </c>
      <c r="Y5" s="27" t="s">
        <v>233</v>
      </c>
      <c r="Z5" s="32"/>
      <c r="AA5" s="31" t="s">
        <v>233</v>
      </c>
      <c r="AB5" s="27"/>
      <c r="AC5" s="25"/>
      <c r="AD5" s="31"/>
      <c r="AE5" s="25"/>
      <c r="AF5" s="25"/>
      <c r="AG5" s="27"/>
      <c r="AH5" s="27"/>
      <c r="AI5" s="33"/>
      <c r="AJ5" s="33" t="s">
        <v>233</v>
      </c>
      <c r="AK5" s="25"/>
      <c r="AL5" s="32"/>
      <c r="AM5" s="29" t="s">
        <v>233</v>
      </c>
      <c r="AN5" s="25"/>
      <c r="AO5" s="25" t="s">
        <v>233</v>
      </c>
      <c r="AP5" s="26" t="s">
        <v>233</v>
      </c>
      <c r="AQ5" s="26"/>
      <c r="AR5" s="26"/>
      <c r="AS5" s="30"/>
      <c r="AU5" s="3"/>
      <c r="AV5" s="3"/>
      <c r="AW5" s="3"/>
      <c r="AX5" s="3"/>
      <c r="AY5" s="3"/>
    </row>
    <row r="6" spans="1:51" ht="27" customHeight="1" x14ac:dyDescent="0.3">
      <c r="A6" s="187"/>
      <c r="B6" s="34">
        <v>2</v>
      </c>
      <c r="C6" s="35" t="s">
        <v>17</v>
      </c>
      <c r="D6" s="36" t="s">
        <v>18</v>
      </c>
      <c r="E6" s="37"/>
      <c r="F6" s="38" t="s">
        <v>233</v>
      </c>
      <c r="G6" s="39" t="s">
        <v>233</v>
      </c>
      <c r="H6" s="38" t="s">
        <v>233</v>
      </c>
      <c r="I6" s="38"/>
      <c r="J6" s="40"/>
      <c r="K6" s="41" t="s">
        <v>233</v>
      </c>
      <c r="L6" s="42"/>
      <c r="M6" s="40" t="s">
        <v>233</v>
      </c>
      <c r="N6" s="25"/>
      <c r="O6" s="43" t="s">
        <v>233</v>
      </c>
      <c r="P6" s="44" t="s">
        <v>233</v>
      </c>
      <c r="Q6" s="33"/>
      <c r="R6" s="33"/>
      <c r="S6" s="33"/>
      <c r="T6" s="25" t="s">
        <v>233</v>
      </c>
      <c r="U6" s="45" t="s">
        <v>233</v>
      </c>
      <c r="V6" s="37"/>
      <c r="W6" s="46"/>
      <c r="X6" s="41" t="s">
        <v>233</v>
      </c>
      <c r="Y6" s="37" t="s">
        <v>233</v>
      </c>
      <c r="Z6" s="47" t="s">
        <v>233</v>
      </c>
      <c r="AA6" s="48"/>
      <c r="AB6" s="37" t="s">
        <v>233</v>
      </c>
      <c r="AC6" s="82"/>
      <c r="AD6" s="48" t="s">
        <v>233</v>
      </c>
      <c r="AE6" s="82" t="s">
        <v>233</v>
      </c>
      <c r="AF6" s="82"/>
      <c r="AG6" s="37"/>
      <c r="AH6" s="37" t="s">
        <v>233</v>
      </c>
      <c r="AI6" s="50"/>
      <c r="AJ6" s="50"/>
      <c r="AK6" s="82"/>
      <c r="AL6" s="47"/>
      <c r="AM6" s="41"/>
      <c r="AN6" s="82"/>
      <c r="AO6" s="82" t="s">
        <v>233</v>
      </c>
      <c r="AP6" s="26"/>
      <c r="AQ6" s="26"/>
      <c r="AR6" s="26"/>
      <c r="AS6" s="30" t="s">
        <v>233</v>
      </c>
      <c r="AU6" s="3"/>
      <c r="AV6" s="3"/>
      <c r="AW6" s="3"/>
      <c r="AX6" s="3"/>
      <c r="AY6" s="3"/>
    </row>
    <row r="7" spans="1:51" ht="27" customHeight="1" x14ac:dyDescent="0.3">
      <c r="A7" s="187"/>
      <c r="B7" s="34">
        <v>3</v>
      </c>
      <c r="C7" s="35" t="s">
        <v>20</v>
      </c>
      <c r="D7" s="36" t="s">
        <v>21</v>
      </c>
      <c r="E7" s="43" t="s">
        <v>233</v>
      </c>
      <c r="F7" s="42"/>
      <c r="G7" s="43"/>
      <c r="H7" s="42"/>
      <c r="I7" s="42"/>
      <c r="J7" s="46"/>
      <c r="K7" s="51"/>
      <c r="L7" s="42"/>
      <c r="M7" s="46"/>
      <c r="N7" s="42"/>
      <c r="O7" s="43" t="s">
        <v>233</v>
      </c>
      <c r="P7" s="44"/>
      <c r="Q7" s="44"/>
      <c r="R7" s="44"/>
      <c r="S7" s="44"/>
      <c r="T7" s="42"/>
      <c r="U7" s="51"/>
      <c r="V7" s="43"/>
      <c r="W7" s="46" t="s">
        <v>233</v>
      </c>
      <c r="X7" s="51"/>
      <c r="Y7" s="43"/>
      <c r="Z7" s="46"/>
      <c r="AA7" s="52" t="s">
        <v>233</v>
      </c>
      <c r="AB7" s="43" t="s">
        <v>233</v>
      </c>
      <c r="AC7" s="42" t="s">
        <v>233</v>
      </c>
      <c r="AD7" s="52"/>
      <c r="AE7" s="42"/>
      <c r="AF7" s="42"/>
      <c r="AG7" s="43" t="s">
        <v>233</v>
      </c>
      <c r="AH7" s="43"/>
      <c r="AI7" s="44"/>
      <c r="AJ7" s="44" t="s">
        <v>233</v>
      </c>
      <c r="AK7" s="42"/>
      <c r="AL7" s="46"/>
      <c r="AM7" s="51"/>
      <c r="AN7" s="44" t="s">
        <v>233</v>
      </c>
      <c r="AO7" s="43"/>
      <c r="AP7" s="42" t="s">
        <v>233</v>
      </c>
      <c r="AQ7" s="42"/>
      <c r="AR7" s="42"/>
      <c r="AS7" s="46"/>
      <c r="AU7" s="3"/>
      <c r="AV7" s="3"/>
      <c r="AW7" s="3"/>
      <c r="AX7" s="3"/>
      <c r="AY7" s="3"/>
    </row>
    <row r="8" spans="1:51" ht="27" customHeight="1" x14ac:dyDescent="0.3">
      <c r="A8" s="187" t="s">
        <v>234</v>
      </c>
      <c r="B8" s="34">
        <v>4</v>
      </c>
      <c r="C8" s="35" t="s">
        <v>25</v>
      </c>
      <c r="D8" s="36" t="s">
        <v>26</v>
      </c>
      <c r="E8" s="43"/>
      <c r="F8" s="42"/>
      <c r="G8" s="43" t="s">
        <v>233</v>
      </c>
      <c r="H8" s="42"/>
      <c r="I8" s="42"/>
      <c r="J8" s="46"/>
      <c r="K8" s="51" t="s">
        <v>233</v>
      </c>
      <c r="L8" s="42"/>
      <c r="M8" s="46"/>
      <c r="N8" s="42" t="s">
        <v>233</v>
      </c>
      <c r="O8" s="43" t="s">
        <v>233</v>
      </c>
      <c r="P8" s="44" t="s">
        <v>233</v>
      </c>
      <c r="Q8" s="44" t="s">
        <v>233</v>
      </c>
      <c r="R8" s="44" t="s">
        <v>233</v>
      </c>
      <c r="S8" s="44"/>
      <c r="T8" s="42" t="s">
        <v>233</v>
      </c>
      <c r="U8" s="51" t="s">
        <v>233</v>
      </c>
      <c r="V8" s="43"/>
      <c r="W8" s="46"/>
      <c r="X8" s="51" t="s">
        <v>233</v>
      </c>
      <c r="Y8" s="43"/>
      <c r="Z8" s="53"/>
      <c r="AA8" s="52"/>
      <c r="AB8" s="43" t="s">
        <v>233</v>
      </c>
      <c r="AC8" s="42"/>
      <c r="AD8" s="52" t="s">
        <v>233</v>
      </c>
      <c r="AE8" s="42" t="s">
        <v>233</v>
      </c>
      <c r="AF8" s="42"/>
      <c r="AG8" s="43"/>
      <c r="AH8" s="43"/>
      <c r="AI8" s="44"/>
      <c r="AJ8" s="44"/>
      <c r="AK8" s="42"/>
      <c r="AL8" s="46"/>
      <c r="AM8" s="51" t="s">
        <v>233</v>
      </c>
      <c r="AN8" s="44"/>
      <c r="AO8" s="43" t="s">
        <v>233</v>
      </c>
      <c r="AP8" s="42"/>
      <c r="AQ8" s="42"/>
      <c r="AR8" s="42"/>
      <c r="AS8" s="46"/>
      <c r="AU8" s="3"/>
      <c r="AV8" s="3"/>
      <c r="AW8" s="3"/>
      <c r="AX8" s="3"/>
      <c r="AY8" s="3"/>
    </row>
    <row r="9" spans="1:51" ht="27" customHeight="1" x14ac:dyDescent="0.3">
      <c r="A9" s="187"/>
      <c r="B9" s="34">
        <v>5</v>
      </c>
      <c r="C9" s="35" t="s">
        <v>30</v>
      </c>
      <c r="D9" s="36" t="s">
        <v>31</v>
      </c>
      <c r="E9" s="43"/>
      <c r="F9" s="42"/>
      <c r="G9" s="43"/>
      <c r="H9" s="42" t="s">
        <v>233</v>
      </c>
      <c r="I9" s="42" t="s">
        <v>233</v>
      </c>
      <c r="J9" s="46"/>
      <c r="K9" s="51"/>
      <c r="L9" s="42" t="s">
        <v>233</v>
      </c>
      <c r="M9" s="46"/>
      <c r="N9" s="42" t="s">
        <v>233</v>
      </c>
      <c r="O9" s="43" t="s">
        <v>233</v>
      </c>
      <c r="P9" s="44" t="s">
        <v>233</v>
      </c>
      <c r="Q9" s="44"/>
      <c r="R9" s="44" t="s">
        <v>233</v>
      </c>
      <c r="S9" s="44"/>
      <c r="T9" s="42" t="s">
        <v>233</v>
      </c>
      <c r="U9" s="51"/>
      <c r="V9" s="43"/>
      <c r="W9" s="46" t="s">
        <v>233</v>
      </c>
      <c r="X9" s="51"/>
      <c r="Y9" s="43"/>
      <c r="Z9" s="53"/>
      <c r="AA9" s="52" t="s">
        <v>233</v>
      </c>
      <c r="AB9" s="43" t="s">
        <v>233</v>
      </c>
      <c r="AC9" s="42" t="s">
        <v>235</v>
      </c>
      <c r="AD9" s="52"/>
      <c r="AE9" s="42" t="s">
        <v>233</v>
      </c>
      <c r="AF9" s="42"/>
      <c r="AG9" s="43"/>
      <c r="AH9" s="43"/>
      <c r="AI9" s="44" t="s">
        <v>233</v>
      </c>
      <c r="AJ9" s="44" t="s">
        <v>233</v>
      </c>
      <c r="AK9" s="42"/>
      <c r="AL9" s="46"/>
      <c r="AM9" s="51"/>
      <c r="AN9" s="44"/>
      <c r="AO9" s="43"/>
      <c r="AP9" s="42" t="s">
        <v>233</v>
      </c>
      <c r="AQ9" s="42"/>
      <c r="AR9" s="42"/>
      <c r="AS9" s="46"/>
      <c r="AU9" s="3"/>
      <c r="AV9" s="3"/>
      <c r="AW9" s="3"/>
      <c r="AX9" s="3"/>
      <c r="AY9" s="3"/>
    </row>
    <row r="10" spans="1:51" ht="27" customHeight="1" x14ac:dyDescent="0.3">
      <c r="A10" s="187"/>
      <c r="B10" s="34">
        <v>6</v>
      </c>
      <c r="C10" s="35" t="s">
        <v>34</v>
      </c>
      <c r="D10" s="36" t="s">
        <v>35</v>
      </c>
      <c r="E10" s="43"/>
      <c r="F10" s="42"/>
      <c r="G10" s="43" t="s">
        <v>233</v>
      </c>
      <c r="H10" s="42" t="s">
        <v>233</v>
      </c>
      <c r="I10" s="42"/>
      <c r="J10" s="46"/>
      <c r="K10" s="51"/>
      <c r="L10" s="42" t="s">
        <v>233</v>
      </c>
      <c r="M10" s="46"/>
      <c r="N10" s="42"/>
      <c r="O10" s="43"/>
      <c r="P10" s="44" t="s">
        <v>233</v>
      </c>
      <c r="Q10" s="44"/>
      <c r="R10" s="44"/>
      <c r="S10" s="44" t="s">
        <v>233</v>
      </c>
      <c r="T10" s="42" t="s">
        <v>233</v>
      </c>
      <c r="U10" s="51" t="s">
        <v>233</v>
      </c>
      <c r="V10" s="43"/>
      <c r="W10" s="46"/>
      <c r="X10" s="51" t="s">
        <v>233</v>
      </c>
      <c r="Y10" s="44" t="s">
        <v>233</v>
      </c>
      <c r="Z10" s="53"/>
      <c r="AA10" s="52"/>
      <c r="AB10" s="43" t="s">
        <v>233</v>
      </c>
      <c r="AC10" s="42"/>
      <c r="AD10" s="52"/>
      <c r="AE10" s="42" t="s">
        <v>233</v>
      </c>
      <c r="AF10" s="42"/>
      <c r="AG10" s="43"/>
      <c r="AH10" s="43"/>
      <c r="AI10" s="44"/>
      <c r="AJ10" s="44"/>
      <c r="AK10" s="42"/>
      <c r="AL10" s="46"/>
      <c r="AM10" s="51" t="s">
        <v>233</v>
      </c>
      <c r="AN10" s="44"/>
      <c r="AO10" s="43" t="s">
        <v>233</v>
      </c>
      <c r="AP10" s="42" t="s">
        <v>233</v>
      </c>
      <c r="AQ10" s="42"/>
      <c r="AR10" s="42"/>
      <c r="AS10" s="46"/>
      <c r="AU10" s="3"/>
      <c r="AV10" s="3"/>
      <c r="AW10" s="3"/>
      <c r="AX10" s="3"/>
      <c r="AY10" s="3"/>
    </row>
    <row r="11" spans="1:51" ht="27" customHeight="1" x14ac:dyDescent="0.3">
      <c r="A11" s="187"/>
      <c r="B11" s="34">
        <v>7</v>
      </c>
      <c r="C11" s="35" t="s">
        <v>39</v>
      </c>
      <c r="D11" s="36" t="s">
        <v>40</v>
      </c>
      <c r="E11" s="43"/>
      <c r="F11" s="42"/>
      <c r="G11" s="43"/>
      <c r="H11" s="42" t="s">
        <v>233</v>
      </c>
      <c r="I11" s="42"/>
      <c r="J11" s="46"/>
      <c r="K11" s="51"/>
      <c r="L11" s="42" t="s">
        <v>233</v>
      </c>
      <c r="M11" s="46"/>
      <c r="N11" s="42"/>
      <c r="O11" s="43"/>
      <c r="P11" s="44" t="s">
        <v>233</v>
      </c>
      <c r="Q11" s="44"/>
      <c r="R11" s="44"/>
      <c r="S11" s="44" t="s">
        <v>233</v>
      </c>
      <c r="T11" s="42" t="s">
        <v>233</v>
      </c>
      <c r="U11" s="52"/>
      <c r="V11" s="54"/>
      <c r="W11" s="43" t="s">
        <v>233</v>
      </c>
      <c r="X11" s="51"/>
      <c r="Y11" s="44"/>
      <c r="Z11" s="53"/>
      <c r="AA11" s="51"/>
      <c r="AB11" s="43"/>
      <c r="AC11" s="42" t="s">
        <v>233</v>
      </c>
      <c r="AD11" s="52" t="s">
        <v>233</v>
      </c>
      <c r="AE11" s="42" t="s">
        <v>233</v>
      </c>
      <c r="AF11" s="42"/>
      <c r="AG11" s="43"/>
      <c r="AH11" s="42"/>
      <c r="AI11" s="42"/>
      <c r="AJ11" s="43"/>
      <c r="AK11" s="54"/>
      <c r="AL11" s="46"/>
      <c r="AM11" s="51"/>
      <c r="AN11" s="44"/>
      <c r="AO11" s="43"/>
      <c r="AP11" s="42" t="s">
        <v>233</v>
      </c>
      <c r="AQ11" s="42"/>
      <c r="AR11" s="42"/>
      <c r="AS11" s="46"/>
      <c r="AU11" s="3"/>
      <c r="AV11" s="3"/>
      <c r="AW11" s="3"/>
      <c r="AX11" s="3"/>
      <c r="AY11" s="3"/>
    </row>
    <row r="12" spans="1:51" ht="27" customHeight="1" x14ac:dyDescent="0.3">
      <c r="A12" s="187"/>
      <c r="B12" s="34">
        <v>8</v>
      </c>
      <c r="C12" s="35" t="s">
        <v>42</v>
      </c>
      <c r="D12" s="36" t="s">
        <v>43</v>
      </c>
      <c r="E12" s="43"/>
      <c r="F12" s="42"/>
      <c r="G12" s="43"/>
      <c r="H12" s="42" t="s">
        <v>233</v>
      </c>
      <c r="I12" s="42"/>
      <c r="J12" s="46"/>
      <c r="K12" s="52" t="s">
        <v>233</v>
      </c>
      <c r="L12" s="54" t="s">
        <v>233</v>
      </c>
      <c r="M12" s="46"/>
      <c r="N12" s="42"/>
      <c r="O12" s="43" t="s">
        <v>233</v>
      </c>
      <c r="P12" s="44" t="s">
        <v>233</v>
      </c>
      <c r="Q12" s="44"/>
      <c r="R12" s="44"/>
      <c r="S12" s="44"/>
      <c r="T12" s="42" t="s">
        <v>233</v>
      </c>
      <c r="U12" s="52"/>
      <c r="V12" s="43"/>
      <c r="W12" s="53" t="s">
        <v>233</v>
      </c>
      <c r="X12" s="51"/>
      <c r="Y12" s="44"/>
      <c r="Z12" s="53"/>
      <c r="AA12" s="52"/>
      <c r="AB12" s="43" t="s">
        <v>233</v>
      </c>
      <c r="AC12" s="42" t="s">
        <v>233</v>
      </c>
      <c r="AD12" s="52"/>
      <c r="AE12" s="42"/>
      <c r="AF12" s="42"/>
      <c r="AG12" s="43"/>
      <c r="AH12" s="43"/>
      <c r="AI12" s="43" t="s">
        <v>233</v>
      </c>
      <c r="AJ12" s="43"/>
      <c r="AK12" s="54" t="s">
        <v>233</v>
      </c>
      <c r="AL12" s="46" t="s">
        <v>233</v>
      </c>
      <c r="AM12" s="51"/>
      <c r="AN12" s="44"/>
      <c r="AO12" s="44"/>
      <c r="AP12" s="42" t="s">
        <v>233</v>
      </c>
      <c r="AQ12" s="42"/>
      <c r="AR12" s="42"/>
      <c r="AS12" s="53"/>
      <c r="AU12" s="3"/>
      <c r="AV12" s="3"/>
      <c r="AW12" s="3"/>
      <c r="AX12" s="3"/>
      <c r="AY12" s="3"/>
    </row>
    <row r="13" spans="1:51" ht="27" customHeight="1" x14ac:dyDescent="0.3">
      <c r="A13" s="187"/>
      <c r="B13" s="34">
        <v>9</v>
      </c>
      <c r="C13" s="35" t="s">
        <v>45</v>
      </c>
      <c r="D13" s="36" t="s">
        <v>46</v>
      </c>
      <c r="E13" s="37" t="s">
        <v>233</v>
      </c>
      <c r="F13" s="38" t="s">
        <v>233</v>
      </c>
      <c r="G13" s="37" t="s">
        <v>233</v>
      </c>
      <c r="H13" s="38" t="s">
        <v>233</v>
      </c>
      <c r="I13" s="38"/>
      <c r="J13" s="47"/>
      <c r="K13" s="48"/>
      <c r="L13" s="55" t="s">
        <v>233</v>
      </c>
      <c r="M13" s="47"/>
      <c r="N13" s="38"/>
      <c r="O13" s="37"/>
      <c r="P13" s="50"/>
      <c r="Q13" s="50"/>
      <c r="R13" s="50"/>
      <c r="S13" s="50"/>
      <c r="T13" s="38"/>
      <c r="U13" s="48" t="s">
        <v>233</v>
      </c>
      <c r="V13" s="37"/>
      <c r="W13" s="49"/>
      <c r="X13" s="45" t="s">
        <v>233</v>
      </c>
      <c r="Y13" s="50" t="s">
        <v>233</v>
      </c>
      <c r="Z13" s="49"/>
      <c r="AA13" s="48"/>
      <c r="AB13" s="37" t="s">
        <v>233</v>
      </c>
      <c r="AC13" s="82"/>
      <c r="AD13" s="59"/>
      <c r="AE13" s="56"/>
      <c r="AF13" s="56"/>
      <c r="AG13" s="43"/>
      <c r="AH13" s="82"/>
      <c r="AI13" s="82"/>
      <c r="AJ13" s="37"/>
      <c r="AK13" s="55"/>
      <c r="AL13" s="47"/>
      <c r="AM13" s="41" t="s">
        <v>233</v>
      </c>
      <c r="AN13" s="50"/>
      <c r="AO13" s="57" t="s">
        <v>233</v>
      </c>
      <c r="AP13" s="82"/>
      <c r="AQ13" s="82"/>
      <c r="AR13" s="82"/>
      <c r="AS13" s="49" t="s">
        <v>233</v>
      </c>
      <c r="AU13" s="3"/>
      <c r="AV13" s="3"/>
      <c r="AW13" s="3"/>
      <c r="AX13" s="3"/>
      <c r="AY13" s="3"/>
    </row>
    <row r="14" spans="1:51" ht="27" customHeight="1" x14ac:dyDescent="0.3">
      <c r="A14" s="187"/>
      <c r="B14" s="34">
        <v>10</v>
      </c>
      <c r="C14" s="35" t="s">
        <v>48</v>
      </c>
      <c r="D14" s="36" t="s">
        <v>49</v>
      </c>
      <c r="E14" s="43"/>
      <c r="F14" s="42"/>
      <c r="G14" s="43" t="s">
        <v>233</v>
      </c>
      <c r="H14" s="42" t="s">
        <v>233</v>
      </c>
      <c r="I14" s="42"/>
      <c r="J14" s="46"/>
      <c r="K14" s="52" t="s">
        <v>233</v>
      </c>
      <c r="L14" s="54"/>
      <c r="M14" s="46"/>
      <c r="N14" s="42"/>
      <c r="O14" s="43"/>
      <c r="P14" s="44"/>
      <c r="Q14" s="44"/>
      <c r="R14" s="44"/>
      <c r="S14" s="44"/>
      <c r="T14" s="42"/>
      <c r="U14" s="52" t="s">
        <v>233</v>
      </c>
      <c r="V14" s="43"/>
      <c r="W14" s="53"/>
      <c r="X14" s="51"/>
      <c r="Y14" s="44"/>
      <c r="Z14" s="53"/>
      <c r="AA14" s="52"/>
      <c r="AB14" s="43" t="s">
        <v>233</v>
      </c>
      <c r="AC14" s="42"/>
      <c r="AD14" s="51"/>
      <c r="AE14" s="44"/>
      <c r="AF14" s="44"/>
      <c r="AG14" s="43"/>
      <c r="AH14" s="42"/>
      <c r="AI14" s="42"/>
      <c r="AJ14" s="43"/>
      <c r="AK14" s="54"/>
      <c r="AL14" s="46"/>
      <c r="AM14" s="51"/>
      <c r="AN14" s="44"/>
      <c r="AO14" s="44" t="s">
        <v>233</v>
      </c>
      <c r="AP14" s="42"/>
      <c r="AQ14" s="42"/>
      <c r="AR14" s="42"/>
      <c r="AS14" s="53"/>
      <c r="AU14" s="3"/>
      <c r="AV14" s="3"/>
      <c r="AW14" s="3"/>
      <c r="AX14" s="3"/>
      <c r="AY14" s="3"/>
    </row>
    <row r="15" spans="1:51" ht="27" customHeight="1" x14ac:dyDescent="0.3">
      <c r="A15" s="187"/>
      <c r="B15" s="21">
        <v>11</v>
      </c>
      <c r="C15" s="35" t="s">
        <v>51</v>
      </c>
      <c r="D15" s="36" t="s">
        <v>52</v>
      </c>
      <c r="E15" s="37"/>
      <c r="F15" s="38"/>
      <c r="G15" s="37"/>
      <c r="H15" s="38" t="s">
        <v>233</v>
      </c>
      <c r="I15" s="38"/>
      <c r="J15" s="47"/>
      <c r="K15" s="48"/>
      <c r="L15" s="58" t="s">
        <v>233</v>
      </c>
      <c r="M15" s="30"/>
      <c r="N15" s="38"/>
      <c r="O15" s="37" t="s">
        <v>233</v>
      </c>
      <c r="P15" s="50" t="s">
        <v>233</v>
      </c>
      <c r="Q15" s="50"/>
      <c r="R15" s="50"/>
      <c r="S15" s="50"/>
      <c r="T15" s="38" t="s">
        <v>233</v>
      </c>
      <c r="U15" s="48" t="s">
        <v>233</v>
      </c>
      <c r="V15" s="37"/>
      <c r="W15" s="49"/>
      <c r="X15" s="41"/>
      <c r="Y15" s="39"/>
      <c r="Z15" s="49"/>
      <c r="AA15" s="48"/>
      <c r="AB15" s="27" t="s">
        <v>233</v>
      </c>
      <c r="AC15" s="82"/>
      <c r="AD15" s="41"/>
      <c r="AE15" s="50" t="s">
        <v>233</v>
      </c>
      <c r="AF15" s="50"/>
      <c r="AG15" s="37"/>
      <c r="AH15" s="82"/>
      <c r="AI15" s="82" t="s">
        <v>233</v>
      </c>
      <c r="AJ15" s="37"/>
      <c r="AK15" s="55"/>
      <c r="AL15" s="47"/>
      <c r="AM15" s="29"/>
      <c r="AN15" s="50"/>
      <c r="AO15" s="50" t="s">
        <v>233</v>
      </c>
      <c r="AP15" s="82"/>
      <c r="AQ15" s="82"/>
      <c r="AR15" s="82"/>
      <c r="AS15" s="49"/>
      <c r="AU15" s="3"/>
      <c r="AV15" s="3"/>
      <c r="AW15" s="3"/>
      <c r="AX15" s="3"/>
      <c r="AY15" s="3"/>
    </row>
    <row r="16" spans="1:51" ht="27" customHeight="1" x14ac:dyDescent="0.3">
      <c r="A16" s="183" t="s">
        <v>55</v>
      </c>
      <c r="B16" s="34">
        <v>12</v>
      </c>
      <c r="C16" s="35" t="s">
        <v>56</v>
      </c>
      <c r="D16" s="36" t="s">
        <v>57</v>
      </c>
      <c r="E16" s="43"/>
      <c r="F16" s="42"/>
      <c r="G16" s="43" t="s">
        <v>233</v>
      </c>
      <c r="H16" s="42"/>
      <c r="I16" s="42"/>
      <c r="J16" s="46"/>
      <c r="K16" s="52"/>
      <c r="L16" s="43" t="s">
        <v>233</v>
      </c>
      <c r="M16" s="53"/>
      <c r="N16" s="42"/>
      <c r="O16" s="43"/>
      <c r="P16" s="44" t="s">
        <v>233</v>
      </c>
      <c r="Q16" s="44"/>
      <c r="R16" s="44"/>
      <c r="S16" s="44" t="s">
        <v>233</v>
      </c>
      <c r="T16" s="42"/>
      <c r="U16" s="52" t="s">
        <v>233</v>
      </c>
      <c r="V16" s="43"/>
      <c r="W16" s="53"/>
      <c r="X16" s="51"/>
      <c r="Y16" s="43"/>
      <c r="Z16" s="53"/>
      <c r="AA16" s="52"/>
      <c r="AB16" s="43" t="s">
        <v>233</v>
      </c>
      <c r="AC16" s="42"/>
      <c r="AD16" s="41"/>
      <c r="AE16" s="44" t="s">
        <v>233</v>
      </c>
      <c r="AF16" s="44"/>
      <c r="AG16" s="43"/>
      <c r="AH16" s="42"/>
      <c r="AI16" s="42"/>
      <c r="AJ16" s="43"/>
      <c r="AK16" s="54"/>
      <c r="AL16" s="46"/>
      <c r="AM16" s="51" t="s">
        <v>233</v>
      </c>
      <c r="AN16" s="44"/>
      <c r="AO16" s="44" t="s">
        <v>233</v>
      </c>
      <c r="AP16" s="42"/>
      <c r="AQ16" s="42"/>
      <c r="AR16" s="42"/>
      <c r="AS16" s="53"/>
      <c r="AU16" s="3"/>
      <c r="AV16" s="3"/>
      <c r="AW16" s="3"/>
      <c r="AX16" s="3"/>
      <c r="AY16" s="3"/>
    </row>
    <row r="17" spans="1:51" ht="27" customHeight="1" x14ac:dyDescent="0.3">
      <c r="A17" s="183"/>
      <c r="B17" s="34">
        <v>13</v>
      </c>
      <c r="C17" s="35" t="s">
        <v>60</v>
      </c>
      <c r="D17" s="36" t="s">
        <v>61</v>
      </c>
      <c r="E17" s="43" t="s">
        <v>233</v>
      </c>
      <c r="F17" s="42"/>
      <c r="G17" s="43" t="s">
        <v>233</v>
      </c>
      <c r="H17" s="42"/>
      <c r="I17" s="42"/>
      <c r="J17" s="46"/>
      <c r="K17" s="52" t="s">
        <v>233</v>
      </c>
      <c r="L17" s="43" t="s">
        <v>233</v>
      </c>
      <c r="M17" s="53"/>
      <c r="N17" s="42"/>
      <c r="O17" s="43"/>
      <c r="P17" s="44" t="s">
        <v>233</v>
      </c>
      <c r="Q17" s="44"/>
      <c r="R17" s="44"/>
      <c r="S17" s="44" t="s">
        <v>233</v>
      </c>
      <c r="T17" s="42" t="s">
        <v>233</v>
      </c>
      <c r="U17" s="52" t="s">
        <v>233</v>
      </c>
      <c r="V17" s="43"/>
      <c r="W17" s="53"/>
      <c r="X17" s="51"/>
      <c r="Y17" s="43"/>
      <c r="Z17" s="53"/>
      <c r="AA17" s="52"/>
      <c r="AB17" s="43" t="s">
        <v>233</v>
      </c>
      <c r="AC17" s="42"/>
      <c r="AD17" s="51"/>
      <c r="AE17" s="44"/>
      <c r="AF17" s="44"/>
      <c r="AG17" s="43"/>
      <c r="AH17" s="42"/>
      <c r="AI17" s="42"/>
      <c r="AJ17" s="43"/>
      <c r="AK17" s="54"/>
      <c r="AL17" s="46"/>
      <c r="AM17" s="51" t="s">
        <v>233</v>
      </c>
      <c r="AN17" s="44"/>
      <c r="AO17" s="44" t="s">
        <v>233</v>
      </c>
      <c r="AP17" s="42"/>
      <c r="AQ17" s="42"/>
      <c r="AR17" s="42"/>
      <c r="AS17" s="53" t="s">
        <v>233</v>
      </c>
      <c r="AU17" s="3"/>
      <c r="AV17" s="3"/>
      <c r="AW17" s="3"/>
      <c r="AX17" s="3"/>
      <c r="AY17" s="3"/>
    </row>
    <row r="18" spans="1:51" ht="27" customHeight="1" x14ac:dyDescent="0.3">
      <c r="A18" s="183"/>
      <c r="B18" s="34">
        <v>14</v>
      </c>
      <c r="C18" s="35" t="s">
        <v>63</v>
      </c>
      <c r="D18" s="36" t="s">
        <v>64</v>
      </c>
      <c r="E18" s="39"/>
      <c r="F18" s="56"/>
      <c r="G18" s="39"/>
      <c r="H18" s="56" t="s">
        <v>233</v>
      </c>
      <c r="I18" s="56"/>
      <c r="J18" s="40"/>
      <c r="K18" s="59"/>
      <c r="L18" s="43" t="s">
        <v>233</v>
      </c>
      <c r="M18" s="60"/>
      <c r="N18" s="56"/>
      <c r="O18" s="39" t="s">
        <v>233</v>
      </c>
      <c r="P18" s="57" t="s">
        <v>233</v>
      </c>
      <c r="Q18" s="57"/>
      <c r="R18" s="57"/>
      <c r="S18" s="57" t="s">
        <v>233</v>
      </c>
      <c r="T18" s="56" t="s">
        <v>233</v>
      </c>
      <c r="U18" s="59" t="s">
        <v>233</v>
      </c>
      <c r="V18" s="39"/>
      <c r="W18" s="60"/>
      <c r="X18" s="45" t="s">
        <v>233</v>
      </c>
      <c r="Y18" s="39" t="s">
        <v>233</v>
      </c>
      <c r="Z18" s="60" t="s">
        <v>233</v>
      </c>
      <c r="AA18" s="59"/>
      <c r="AB18" s="39" t="s">
        <v>233</v>
      </c>
      <c r="AC18" s="56"/>
      <c r="AD18" s="45"/>
      <c r="AE18" s="57" t="s">
        <v>233</v>
      </c>
      <c r="AF18" s="57"/>
      <c r="AG18" s="39"/>
      <c r="AH18" s="56"/>
      <c r="AI18" s="56" t="s">
        <v>233</v>
      </c>
      <c r="AJ18" s="39"/>
      <c r="AK18" s="58"/>
      <c r="AL18" s="40"/>
      <c r="AM18" s="45" t="s">
        <v>233</v>
      </c>
      <c r="AN18" s="57"/>
      <c r="AO18" s="57" t="s">
        <v>233</v>
      </c>
      <c r="AP18" s="56"/>
      <c r="AQ18" s="56"/>
      <c r="AR18" s="56"/>
      <c r="AS18" s="60" t="s">
        <v>233</v>
      </c>
      <c r="AU18" s="3"/>
      <c r="AV18" s="3"/>
      <c r="AW18" s="3"/>
      <c r="AX18" s="3"/>
      <c r="AY18" s="3"/>
    </row>
    <row r="19" spans="1:51" ht="27" customHeight="1" x14ac:dyDescent="0.3">
      <c r="A19" s="183"/>
      <c r="B19" s="34">
        <v>15</v>
      </c>
      <c r="C19" s="35" t="s">
        <v>67</v>
      </c>
      <c r="D19" s="36" t="s">
        <v>68</v>
      </c>
      <c r="E19" s="43" t="s">
        <v>233</v>
      </c>
      <c r="F19" s="42" t="s">
        <v>233</v>
      </c>
      <c r="G19" s="43" t="s">
        <v>233</v>
      </c>
      <c r="H19" s="42" t="s">
        <v>233</v>
      </c>
      <c r="I19" s="42"/>
      <c r="J19" s="46"/>
      <c r="K19" s="52"/>
      <c r="L19" s="43"/>
      <c r="M19" s="53" t="s">
        <v>233</v>
      </c>
      <c r="N19" s="42" t="s">
        <v>233</v>
      </c>
      <c r="O19" s="43"/>
      <c r="P19" s="44"/>
      <c r="Q19" s="44"/>
      <c r="R19" s="44"/>
      <c r="S19" s="44"/>
      <c r="T19" s="42"/>
      <c r="U19" s="52" t="s">
        <v>233</v>
      </c>
      <c r="V19" s="43"/>
      <c r="W19" s="53"/>
      <c r="X19" s="51" t="s">
        <v>233</v>
      </c>
      <c r="Y19" s="43" t="s">
        <v>233</v>
      </c>
      <c r="Z19" s="53" t="s">
        <v>233</v>
      </c>
      <c r="AA19" s="52"/>
      <c r="AB19" s="43" t="s">
        <v>233</v>
      </c>
      <c r="AC19" s="42"/>
      <c r="AD19" s="51"/>
      <c r="AE19" s="44"/>
      <c r="AF19" s="44"/>
      <c r="AG19" s="43"/>
      <c r="AH19" s="42"/>
      <c r="AI19" s="42"/>
      <c r="AJ19" s="43"/>
      <c r="AK19" s="54"/>
      <c r="AL19" s="46"/>
      <c r="AM19" s="51" t="s">
        <v>233</v>
      </c>
      <c r="AN19" s="44"/>
      <c r="AO19" s="44" t="s">
        <v>233</v>
      </c>
      <c r="AP19" s="42"/>
      <c r="AQ19" s="42"/>
      <c r="AR19" s="42"/>
      <c r="AS19" s="53" t="s">
        <v>233</v>
      </c>
      <c r="AU19" s="3"/>
      <c r="AV19" s="3"/>
      <c r="AW19" s="3"/>
      <c r="AX19" s="3"/>
      <c r="AY19" s="3"/>
    </row>
    <row r="20" spans="1:51" ht="27" customHeight="1" x14ac:dyDescent="0.3">
      <c r="A20" s="183"/>
      <c r="B20" s="34">
        <v>16</v>
      </c>
      <c r="C20" s="35" t="s">
        <v>70</v>
      </c>
      <c r="D20" s="36" t="s">
        <v>71</v>
      </c>
      <c r="E20" s="37"/>
      <c r="F20" s="38"/>
      <c r="G20" s="37"/>
      <c r="H20" s="38" t="s">
        <v>233</v>
      </c>
      <c r="I20" s="38"/>
      <c r="J20" s="47"/>
      <c r="K20" s="37" t="s">
        <v>233</v>
      </c>
      <c r="L20" s="37" t="s">
        <v>233</v>
      </c>
      <c r="M20" s="49"/>
      <c r="N20" s="38"/>
      <c r="O20" s="37" t="s">
        <v>233</v>
      </c>
      <c r="P20" s="50" t="s">
        <v>233</v>
      </c>
      <c r="Q20" s="50"/>
      <c r="R20" s="50"/>
      <c r="S20" s="44"/>
      <c r="T20" s="38" t="s">
        <v>233</v>
      </c>
      <c r="U20" s="48"/>
      <c r="V20" s="37"/>
      <c r="W20" s="49" t="s">
        <v>233</v>
      </c>
      <c r="X20" s="41"/>
      <c r="Y20" s="37"/>
      <c r="Z20" s="49"/>
      <c r="AA20" s="48"/>
      <c r="AB20" s="37"/>
      <c r="AC20" s="82" t="s">
        <v>233</v>
      </c>
      <c r="AD20" s="41" t="s">
        <v>233</v>
      </c>
      <c r="AE20" s="50" t="s">
        <v>233</v>
      </c>
      <c r="AF20" s="50"/>
      <c r="AG20" s="37"/>
      <c r="AH20" s="82"/>
      <c r="AI20" s="82"/>
      <c r="AJ20" s="37" t="s">
        <v>233</v>
      </c>
      <c r="AK20" s="55" t="s">
        <v>233</v>
      </c>
      <c r="AL20" s="47"/>
      <c r="AM20" s="41"/>
      <c r="AN20" s="50"/>
      <c r="AO20" s="50"/>
      <c r="AP20" s="82" t="s">
        <v>233</v>
      </c>
      <c r="AQ20" s="82"/>
      <c r="AR20" s="82"/>
      <c r="AS20" s="49"/>
      <c r="AU20" s="3"/>
      <c r="AV20" s="3"/>
      <c r="AW20" s="3"/>
      <c r="AX20" s="3"/>
      <c r="AY20" s="3"/>
    </row>
    <row r="21" spans="1:51" ht="27" customHeight="1" x14ac:dyDescent="0.3">
      <c r="A21" s="183"/>
      <c r="B21" s="34">
        <v>17</v>
      </c>
      <c r="C21" s="35" t="s">
        <v>74</v>
      </c>
      <c r="D21" s="36" t="s">
        <v>75</v>
      </c>
      <c r="E21" s="42" t="s">
        <v>233</v>
      </c>
      <c r="F21" s="42" t="s">
        <v>233</v>
      </c>
      <c r="G21" s="43" t="s">
        <v>233</v>
      </c>
      <c r="H21" s="38" t="s">
        <v>233</v>
      </c>
      <c r="I21" s="42"/>
      <c r="J21" s="46"/>
      <c r="K21" s="52" t="s">
        <v>233</v>
      </c>
      <c r="L21" s="43"/>
      <c r="M21" s="53"/>
      <c r="N21" s="44"/>
      <c r="O21" s="44"/>
      <c r="P21" s="44" t="s">
        <v>233</v>
      </c>
      <c r="Q21" s="44" t="s">
        <v>233</v>
      </c>
      <c r="R21" s="44"/>
      <c r="S21" s="44"/>
      <c r="T21" s="44" t="s">
        <v>233</v>
      </c>
      <c r="U21" s="52" t="s">
        <v>233</v>
      </c>
      <c r="V21" s="43"/>
      <c r="W21" s="53"/>
      <c r="X21" s="51" t="s">
        <v>233</v>
      </c>
      <c r="Y21" s="43"/>
      <c r="Z21" s="53"/>
      <c r="AA21" s="52"/>
      <c r="AB21" s="43" t="s">
        <v>233</v>
      </c>
      <c r="AC21" s="42"/>
      <c r="AD21" s="51"/>
      <c r="AE21" s="44"/>
      <c r="AF21" s="44"/>
      <c r="AG21" s="43"/>
      <c r="AH21" s="42"/>
      <c r="AI21" s="42"/>
      <c r="AJ21" s="43"/>
      <c r="AK21" s="54"/>
      <c r="AL21" s="46"/>
      <c r="AM21" s="51" t="s">
        <v>233</v>
      </c>
      <c r="AN21" s="44"/>
      <c r="AO21" s="44" t="s">
        <v>233</v>
      </c>
      <c r="AP21" s="42"/>
      <c r="AQ21" s="42"/>
      <c r="AR21" s="42"/>
      <c r="AS21" s="53" t="s">
        <v>233</v>
      </c>
      <c r="AU21" s="3"/>
      <c r="AV21" s="3"/>
      <c r="AW21" s="3"/>
      <c r="AX21" s="3"/>
      <c r="AY21" s="3"/>
    </row>
    <row r="22" spans="1:51" ht="27" customHeight="1" x14ac:dyDescent="0.3">
      <c r="A22" s="183"/>
      <c r="B22" s="34">
        <v>18</v>
      </c>
      <c r="C22" s="35" t="s">
        <v>77</v>
      </c>
      <c r="D22" s="36" t="s">
        <v>78</v>
      </c>
      <c r="E22" s="37"/>
      <c r="F22" s="38"/>
      <c r="G22" s="37" t="s">
        <v>233</v>
      </c>
      <c r="H22" s="38"/>
      <c r="I22" s="38" t="s">
        <v>233</v>
      </c>
      <c r="J22" s="47"/>
      <c r="K22" s="37" t="s">
        <v>233</v>
      </c>
      <c r="L22" s="37" t="s">
        <v>233</v>
      </c>
      <c r="M22" s="49"/>
      <c r="N22" s="57"/>
      <c r="O22" s="44" t="s">
        <v>233</v>
      </c>
      <c r="P22" s="50"/>
      <c r="Q22" s="50"/>
      <c r="R22" s="50"/>
      <c r="S22" s="44"/>
      <c r="T22" s="38"/>
      <c r="U22" s="45"/>
      <c r="V22" s="37" t="s">
        <v>233</v>
      </c>
      <c r="W22" s="49"/>
      <c r="X22" s="41"/>
      <c r="Y22" s="37"/>
      <c r="Z22" s="49"/>
      <c r="AA22" s="48" t="s">
        <v>233</v>
      </c>
      <c r="AB22" s="37"/>
      <c r="AC22" s="82"/>
      <c r="AD22" s="41"/>
      <c r="AE22" s="50"/>
      <c r="AF22" s="50"/>
      <c r="AG22" s="37"/>
      <c r="AH22" s="82"/>
      <c r="AI22" s="82"/>
      <c r="AJ22" s="37"/>
      <c r="AK22" s="55"/>
      <c r="AL22" s="47"/>
      <c r="AM22" s="51"/>
      <c r="AN22" s="50"/>
      <c r="AO22" s="82" t="s">
        <v>233</v>
      </c>
      <c r="AP22" s="42"/>
      <c r="AQ22" s="82"/>
      <c r="AR22" s="82"/>
      <c r="AS22" s="49"/>
      <c r="AU22" s="3"/>
      <c r="AV22" s="3"/>
      <c r="AW22" s="3"/>
      <c r="AX22" s="3"/>
      <c r="AY22" s="3"/>
    </row>
    <row r="23" spans="1:51" ht="27" customHeight="1" x14ac:dyDescent="0.3">
      <c r="A23" s="183"/>
      <c r="B23" s="34">
        <v>19</v>
      </c>
      <c r="C23" s="35" t="s">
        <v>80</v>
      </c>
      <c r="D23" s="36" t="s">
        <v>81</v>
      </c>
      <c r="E23" s="43"/>
      <c r="F23" s="42"/>
      <c r="G23" s="43" t="s">
        <v>233</v>
      </c>
      <c r="H23" s="42" t="s">
        <v>233</v>
      </c>
      <c r="I23" s="42"/>
      <c r="J23" s="46"/>
      <c r="K23" s="37" t="s">
        <v>233</v>
      </c>
      <c r="L23" s="37" t="s">
        <v>233</v>
      </c>
      <c r="M23" s="53"/>
      <c r="N23" s="44"/>
      <c r="O23" s="44"/>
      <c r="P23" s="44"/>
      <c r="Q23" s="44"/>
      <c r="R23" s="44"/>
      <c r="S23" s="43"/>
      <c r="T23" s="42"/>
      <c r="U23" s="51" t="s">
        <v>233</v>
      </c>
      <c r="V23" s="43"/>
      <c r="W23" s="53"/>
      <c r="X23" s="51"/>
      <c r="Y23" s="43"/>
      <c r="Z23" s="53"/>
      <c r="AA23" s="52"/>
      <c r="AB23" s="43" t="s">
        <v>233</v>
      </c>
      <c r="AC23" s="42"/>
      <c r="AD23" s="51"/>
      <c r="AE23" s="44"/>
      <c r="AF23" s="44"/>
      <c r="AG23" s="43"/>
      <c r="AH23" s="42"/>
      <c r="AI23" s="42"/>
      <c r="AJ23" s="43"/>
      <c r="AK23" s="54"/>
      <c r="AL23" s="46"/>
      <c r="AM23" s="51" t="s">
        <v>233</v>
      </c>
      <c r="AN23" s="44"/>
      <c r="AO23" s="44" t="s">
        <v>233</v>
      </c>
      <c r="AP23" s="42"/>
      <c r="AQ23" s="42"/>
      <c r="AR23" s="42"/>
      <c r="AS23" s="53"/>
      <c r="AU23" s="3"/>
      <c r="AV23" s="3"/>
      <c r="AW23" s="3"/>
      <c r="AX23" s="3"/>
      <c r="AY23" s="3"/>
    </row>
    <row r="24" spans="1:51" ht="27" customHeight="1" x14ac:dyDescent="0.3">
      <c r="A24" s="183"/>
      <c r="B24" s="34">
        <v>20</v>
      </c>
      <c r="C24" s="35" t="s">
        <v>83</v>
      </c>
      <c r="D24" s="36" t="s">
        <v>84</v>
      </c>
      <c r="E24" s="37" t="s">
        <v>233</v>
      </c>
      <c r="F24" s="38" t="s">
        <v>233</v>
      </c>
      <c r="G24" s="37"/>
      <c r="H24" s="38" t="s">
        <v>233</v>
      </c>
      <c r="I24" s="38"/>
      <c r="J24" s="47"/>
      <c r="K24" s="48"/>
      <c r="L24" s="37"/>
      <c r="M24" s="49"/>
      <c r="N24" s="57"/>
      <c r="O24" s="50"/>
      <c r="P24" s="39" t="s">
        <v>233</v>
      </c>
      <c r="Q24" s="37" t="s">
        <v>233</v>
      </c>
      <c r="R24" s="37" t="s">
        <v>233</v>
      </c>
      <c r="S24" s="37"/>
      <c r="T24" s="38" t="s">
        <v>233</v>
      </c>
      <c r="U24" s="29" t="s">
        <v>233</v>
      </c>
      <c r="V24" s="37"/>
      <c r="W24" s="49"/>
      <c r="X24" s="41"/>
      <c r="Y24" s="50"/>
      <c r="Z24" s="40"/>
      <c r="AA24" s="48"/>
      <c r="AB24" s="38" t="s">
        <v>233</v>
      </c>
      <c r="AC24" s="82"/>
      <c r="AD24" s="45"/>
      <c r="AE24" s="50" t="s">
        <v>233</v>
      </c>
      <c r="AF24" s="50"/>
      <c r="AG24" s="33" t="s">
        <v>233</v>
      </c>
      <c r="AH24" s="82"/>
      <c r="AI24" s="82"/>
      <c r="AJ24" s="37"/>
      <c r="AK24" s="55"/>
      <c r="AL24" s="47" t="s">
        <v>233</v>
      </c>
      <c r="AM24" s="41" t="s">
        <v>233</v>
      </c>
      <c r="AN24" s="50"/>
      <c r="AO24" s="43" t="s">
        <v>233</v>
      </c>
      <c r="AP24" s="39"/>
      <c r="AQ24" s="57"/>
      <c r="AR24" s="57"/>
      <c r="AS24" s="60" t="s">
        <v>233</v>
      </c>
      <c r="AU24" s="3"/>
      <c r="AV24" s="3"/>
      <c r="AW24" s="3"/>
      <c r="AX24" s="3"/>
      <c r="AY24" s="3"/>
    </row>
    <row r="25" spans="1:51" ht="27" customHeight="1" x14ac:dyDescent="0.3">
      <c r="A25" s="183"/>
      <c r="B25" s="21">
        <v>21</v>
      </c>
      <c r="C25" s="35" t="s">
        <v>86</v>
      </c>
      <c r="D25" s="36" t="s">
        <v>87</v>
      </c>
      <c r="E25" s="43"/>
      <c r="F25" s="42"/>
      <c r="G25" s="43" t="s">
        <v>233</v>
      </c>
      <c r="H25" s="42"/>
      <c r="I25" s="42" t="s">
        <v>233</v>
      </c>
      <c r="J25" s="46"/>
      <c r="K25" s="52" t="s">
        <v>233</v>
      </c>
      <c r="L25" s="43"/>
      <c r="M25" s="53"/>
      <c r="N25" s="44"/>
      <c r="O25" s="44" t="s">
        <v>233</v>
      </c>
      <c r="P25" s="43" t="s">
        <v>233</v>
      </c>
      <c r="Q25" s="43"/>
      <c r="R25" s="43"/>
      <c r="S25" s="43" t="s">
        <v>233</v>
      </c>
      <c r="T25" s="42" t="s">
        <v>233</v>
      </c>
      <c r="U25" s="51"/>
      <c r="V25" s="43"/>
      <c r="W25" s="53" t="s">
        <v>233</v>
      </c>
      <c r="X25" s="51"/>
      <c r="Y25" s="44"/>
      <c r="Z25" s="46"/>
      <c r="AA25" s="52" t="s">
        <v>233</v>
      </c>
      <c r="AB25" s="42" t="s">
        <v>233</v>
      </c>
      <c r="AC25" s="42"/>
      <c r="AD25" s="51"/>
      <c r="AE25" s="43"/>
      <c r="AF25" s="43"/>
      <c r="AG25" s="43" t="s">
        <v>233</v>
      </c>
      <c r="AH25" s="42"/>
      <c r="AI25" s="42"/>
      <c r="AJ25" s="43"/>
      <c r="AK25" s="54"/>
      <c r="AL25" s="46"/>
      <c r="AM25" s="51"/>
      <c r="AN25" s="44"/>
      <c r="AO25" s="43" t="s">
        <v>233</v>
      </c>
      <c r="AP25" s="43" t="s">
        <v>233</v>
      </c>
      <c r="AQ25" s="44"/>
      <c r="AR25" s="44"/>
      <c r="AS25" s="53"/>
      <c r="AU25" s="3"/>
      <c r="AV25" s="3"/>
      <c r="AW25" s="3"/>
      <c r="AX25" s="3"/>
      <c r="AY25" s="3"/>
    </row>
    <row r="26" spans="1:51" ht="27" customHeight="1" x14ac:dyDescent="0.3">
      <c r="A26" s="183"/>
      <c r="B26" s="34">
        <v>22</v>
      </c>
      <c r="C26" s="35" t="s">
        <v>89</v>
      </c>
      <c r="D26" s="36" t="s">
        <v>90</v>
      </c>
      <c r="E26" s="37"/>
      <c r="F26" s="38"/>
      <c r="G26" s="37"/>
      <c r="H26" s="39" t="s">
        <v>233</v>
      </c>
      <c r="I26" s="58"/>
      <c r="J26" s="40"/>
      <c r="K26" s="48"/>
      <c r="L26" s="37" t="s">
        <v>233</v>
      </c>
      <c r="M26" s="49"/>
      <c r="N26" s="50"/>
      <c r="O26" s="50" t="s">
        <v>233</v>
      </c>
      <c r="P26" s="37" t="s">
        <v>233</v>
      </c>
      <c r="Q26" s="37"/>
      <c r="R26" s="37" t="s">
        <v>233</v>
      </c>
      <c r="S26" s="37" t="s">
        <v>233</v>
      </c>
      <c r="T26" s="38" t="s">
        <v>233</v>
      </c>
      <c r="U26" s="41"/>
      <c r="V26" s="27" t="s">
        <v>233</v>
      </c>
      <c r="W26" s="49"/>
      <c r="X26" s="29"/>
      <c r="Y26" s="50"/>
      <c r="Z26" s="47"/>
      <c r="AA26" s="48" t="s">
        <v>233</v>
      </c>
      <c r="AB26" s="38"/>
      <c r="AC26" s="82"/>
      <c r="AD26" s="51"/>
      <c r="AE26" s="37"/>
      <c r="AF26" s="37"/>
      <c r="AG26" s="37"/>
      <c r="AH26" s="82"/>
      <c r="AI26" s="82"/>
      <c r="AJ26" s="37"/>
      <c r="AK26" s="55"/>
      <c r="AL26" s="47"/>
      <c r="AM26" s="41"/>
      <c r="AN26" s="50"/>
      <c r="AO26" s="37"/>
      <c r="AP26" s="37" t="s">
        <v>233</v>
      </c>
      <c r="AQ26" s="50"/>
      <c r="AR26" s="50"/>
      <c r="AS26" s="49"/>
      <c r="AU26" s="3"/>
      <c r="AV26" s="3"/>
      <c r="AW26" s="3"/>
      <c r="AX26" s="3"/>
      <c r="AY26" s="3"/>
    </row>
    <row r="27" spans="1:51" ht="27" customHeight="1" x14ac:dyDescent="0.3">
      <c r="A27" s="183"/>
      <c r="B27" s="34">
        <v>24</v>
      </c>
      <c r="C27" s="35" t="s">
        <v>92</v>
      </c>
      <c r="D27" s="36" t="s">
        <v>93</v>
      </c>
      <c r="E27" s="37" t="s">
        <v>233</v>
      </c>
      <c r="F27" s="38" t="s">
        <v>233</v>
      </c>
      <c r="G27" s="37" t="s">
        <v>233</v>
      </c>
      <c r="H27" s="37"/>
      <c r="I27" s="55"/>
      <c r="J27" s="47" t="s">
        <v>233</v>
      </c>
      <c r="K27" s="45" t="s">
        <v>233</v>
      </c>
      <c r="L27" s="25" t="s">
        <v>233</v>
      </c>
      <c r="M27" s="40"/>
      <c r="N27" s="50"/>
      <c r="O27" s="50"/>
      <c r="P27" s="37"/>
      <c r="Q27" s="37"/>
      <c r="R27" s="37"/>
      <c r="S27" s="37"/>
      <c r="T27" s="38" t="s">
        <v>233</v>
      </c>
      <c r="U27" s="41" t="s">
        <v>233</v>
      </c>
      <c r="V27" s="38"/>
      <c r="W27" s="47"/>
      <c r="X27" s="41" t="s">
        <v>233</v>
      </c>
      <c r="Y27" s="50"/>
      <c r="Z27" s="47"/>
      <c r="AA27" s="48"/>
      <c r="AB27" s="38" t="s">
        <v>233</v>
      </c>
      <c r="AC27" s="82"/>
      <c r="AD27" s="41" t="s">
        <v>233</v>
      </c>
      <c r="AE27" s="37"/>
      <c r="AF27" s="37"/>
      <c r="AG27" s="37"/>
      <c r="AH27" s="82"/>
      <c r="AI27" s="82"/>
      <c r="AJ27" s="37"/>
      <c r="AK27" s="55"/>
      <c r="AL27" s="47"/>
      <c r="AM27" s="41" t="s">
        <v>233</v>
      </c>
      <c r="AN27" s="50" t="s">
        <v>233</v>
      </c>
      <c r="AO27" s="37" t="s">
        <v>233</v>
      </c>
      <c r="AP27" s="37"/>
      <c r="AQ27" s="50"/>
      <c r="AR27" s="50"/>
      <c r="AS27" s="49" t="s">
        <v>233</v>
      </c>
      <c r="AU27" s="3"/>
      <c r="AV27" s="3"/>
      <c r="AW27" s="3"/>
      <c r="AX27" s="3"/>
      <c r="AY27" s="3"/>
    </row>
    <row r="28" spans="1:51" ht="27" customHeight="1" x14ac:dyDescent="0.3">
      <c r="A28" s="183"/>
      <c r="B28" s="34">
        <v>25</v>
      </c>
      <c r="C28" s="35" t="s">
        <v>95</v>
      </c>
      <c r="D28" s="36" t="s">
        <v>93</v>
      </c>
      <c r="E28" s="43" t="s">
        <v>233</v>
      </c>
      <c r="F28" s="42"/>
      <c r="G28" s="43" t="s">
        <v>233</v>
      </c>
      <c r="H28" s="43"/>
      <c r="I28" s="54"/>
      <c r="J28" s="46" t="s">
        <v>233</v>
      </c>
      <c r="K28" s="51" t="s">
        <v>233</v>
      </c>
      <c r="L28" s="42"/>
      <c r="M28" s="46"/>
      <c r="N28" s="44"/>
      <c r="O28" s="44"/>
      <c r="P28" s="43" t="s">
        <v>233</v>
      </c>
      <c r="Q28" s="43"/>
      <c r="R28" s="43" t="s">
        <v>233</v>
      </c>
      <c r="S28" s="43"/>
      <c r="T28" s="42" t="s">
        <v>233</v>
      </c>
      <c r="U28" s="51" t="s">
        <v>233</v>
      </c>
      <c r="V28" s="42"/>
      <c r="W28" s="46"/>
      <c r="X28" s="51"/>
      <c r="Y28" s="44"/>
      <c r="Z28" s="46"/>
      <c r="AA28" s="52"/>
      <c r="AB28" s="42" t="s">
        <v>233</v>
      </c>
      <c r="AC28" s="42"/>
      <c r="AD28" s="51" t="s">
        <v>233</v>
      </c>
      <c r="AE28" s="43" t="s">
        <v>233</v>
      </c>
      <c r="AF28" s="43"/>
      <c r="AG28" s="43"/>
      <c r="AH28" s="42"/>
      <c r="AI28" s="42" t="s">
        <v>233</v>
      </c>
      <c r="AJ28" s="43"/>
      <c r="AK28" s="54"/>
      <c r="AL28" s="46"/>
      <c r="AM28" s="51" t="s">
        <v>233</v>
      </c>
      <c r="AN28" s="44"/>
      <c r="AO28" s="43" t="s">
        <v>233</v>
      </c>
      <c r="AP28" s="43"/>
      <c r="AQ28" s="44"/>
      <c r="AR28" s="44"/>
      <c r="AS28" s="53"/>
      <c r="AU28" s="3"/>
      <c r="AV28" s="3"/>
      <c r="AW28" s="3"/>
      <c r="AX28" s="3"/>
      <c r="AY28" s="3"/>
    </row>
    <row r="29" spans="1:51" ht="27" customHeight="1" x14ac:dyDescent="0.3">
      <c r="A29" s="183"/>
      <c r="B29" s="34">
        <v>26</v>
      </c>
      <c r="C29" s="35" t="s">
        <v>97</v>
      </c>
      <c r="D29" s="36" t="s">
        <v>90</v>
      </c>
      <c r="E29" s="27"/>
      <c r="F29" s="38"/>
      <c r="G29" s="37"/>
      <c r="H29" s="37" t="s">
        <v>233</v>
      </c>
      <c r="I29" s="55"/>
      <c r="J29" s="47"/>
      <c r="K29" s="41"/>
      <c r="L29" s="38" t="s">
        <v>233</v>
      </c>
      <c r="M29" s="47"/>
      <c r="N29" s="50"/>
      <c r="O29" s="50" t="s">
        <v>233</v>
      </c>
      <c r="P29" s="37"/>
      <c r="Q29" s="37"/>
      <c r="R29" s="37"/>
      <c r="S29" s="37"/>
      <c r="T29" s="38"/>
      <c r="U29" s="41"/>
      <c r="V29" s="38" t="s">
        <v>233</v>
      </c>
      <c r="W29" s="47"/>
      <c r="X29" s="41"/>
      <c r="Y29" s="50"/>
      <c r="Z29" s="47"/>
      <c r="AA29" s="41" t="s">
        <v>233</v>
      </c>
      <c r="AB29" s="38"/>
      <c r="AC29" s="82"/>
      <c r="AD29" s="41"/>
      <c r="AE29" s="37"/>
      <c r="AF29" s="37"/>
      <c r="AG29" s="37" t="s">
        <v>233</v>
      </c>
      <c r="AH29" s="82"/>
      <c r="AI29" s="82"/>
      <c r="AJ29" s="37"/>
      <c r="AK29" s="55"/>
      <c r="AL29" s="47"/>
      <c r="AM29" s="41"/>
      <c r="AN29" s="50"/>
      <c r="AO29" s="37" t="s">
        <v>233</v>
      </c>
      <c r="AP29" s="37"/>
      <c r="AQ29" s="50"/>
      <c r="AR29" s="50"/>
      <c r="AS29" s="49"/>
      <c r="AU29" s="3"/>
      <c r="AV29" s="3"/>
      <c r="AW29" s="3"/>
      <c r="AX29" s="3"/>
      <c r="AY29" s="3"/>
    </row>
    <row r="30" spans="1:51" ht="27" customHeight="1" x14ac:dyDescent="0.3">
      <c r="A30" s="183"/>
      <c r="B30" s="34">
        <v>28</v>
      </c>
      <c r="C30" s="35" t="s">
        <v>99</v>
      </c>
      <c r="D30" s="36" t="s">
        <v>71</v>
      </c>
      <c r="E30" s="43"/>
      <c r="F30" s="42"/>
      <c r="G30" s="43"/>
      <c r="H30" s="43" t="s">
        <v>233</v>
      </c>
      <c r="I30" s="54"/>
      <c r="J30" s="46"/>
      <c r="K30" s="51"/>
      <c r="L30" s="42" t="s">
        <v>233</v>
      </c>
      <c r="M30" s="46"/>
      <c r="N30" s="44" t="s">
        <v>233</v>
      </c>
      <c r="O30" s="44" t="s">
        <v>233</v>
      </c>
      <c r="P30" s="43"/>
      <c r="Q30" s="43"/>
      <c r="R30" s="43"/>
      <c r="S30" s="43"/>
      <c r="T30" s="42"/>
      <c r="U30" s="51"/>
      <c r="V30" s="43"/>
      <c r="W30" s="42" t="s">
        <v>233</v>
      </c>
      <c r="X30" s="51"/>
      <c r="Y30" s="44"/>
      <c r="Z30" s="46"/>
      <c r="AA30" s="52" t="s">
        <v>233</v>
      </c>
      <c r="AB30" s="42" t="s">
        <v>233</v>
      </c>
      <c r="AC30" s="42"/>
      <c r="AD30" s="51"/>
      <c r="AE30" s="43"/>
      <c r="AF30" s="43"/>
      <c r="AG30" s="43"/>
      <c r="AH30" s="43"/>
      <c r="AI30" s="43"/>
      <c r="AJ30" s="43"/>
      <c r="AK30" s="54" t="s">
        <v>233</v>
      </c>
      <c r="AL30" s="46"/>
      <c r="AM30" s="51"/>
      <c r="AN30" s="44"/>
      <c r="AO30" s="43"/>
      <c r="AP30" s="43" t="s">
        <v>233</v>
      </c>
      <c r="AQ30" s="44"/>
      <c r="AR30" s="44"/>
      <c r="AS30" s="53"/>
      <c r="AU30" s="3"/>
      <c r="AV30" s="3"/>
      <c r="AW30" s="3"/>
      <c r="AX30" s="3"/>
      <c r="AY30" s="3"/>
    </row>
    <row r="31" spans="1:51" ht="27" customHeight="1" x14ac:dyDescent="0.3">
      <c r="A31" s="183"/>
      <c r="B31" s="34">
        <v>29</v>
      </c>
      <c r="C31" s="35" t="s">
        <v>101</v>
      </c>
      <c r="D31" s="36" t="s">
        <v>102</v>
      </c>
      <c r="E31" s="43"/>
      <c r="F31" s="42"/>
      <c r="G31" s="43"/>
      <c r="H31" s="43" t="s">
        <v>233</v>
      </c>
      <c r="I31" s="54"/>
      <c r="J31" s="46"/>
      <c r="K31" s="51" t="s">
        <v>233</v>
      </c>
      <c r="L31" s="42" t="s">
        <v>233</v>
      </c>
      <c r="M31" s="46"/>
      <c r="N31" s="44"/>
      <c r="O31" s="44"/>
      <c r="P31" s="43"/>
      <c r="Q31" s="43"/>
      <c r="R31" s="43"/>
      <c r="S31" s="43"/>
      <c r="T31" s="42"/>
      <c r="U31" s="51"/>
      <c r="V31" s="43"/>
      <c r="W31" s="42" t="s">
        <v>233</v>
      </c>
      <c r="X31" s="51"/>
      <c r="Y31" s="44"/>
      <c r="Z31" s="46"/>
      <c r="AA31" s="52"/>
      <c r="AB31" s="42" t="s">
        <v>233</v>
      </c>
      <c r="AC31" s="42" t="s">
        <v>233</v>
      </c>
      <c r="AD31" s="51" t="s">
        <v>233</v>
      </c>
      <c r="AE31" s="43" t="s">
        <v>233</v>
      </c>
      <c r="AF31" s="43"/>
      <c r="AG31" s="43"/>
      <c r="AH31" s="43"/>
      <c r="AI31" s="43"/>
      <c r="AJ31" s="43" t="s">
        <v>233</v>
      </c>
      <c r="AK31" s="54"/>
      <c r="AL31" s="46" t="s">
        <v>233</v>
      </c>
      <c r="AM31" s="51"/>
      <c r="AN31" s="44"/>
      <c r="AO31" s="43"/>
      <c r="AP31" s="43" t="s">
        <v>233</v>
      </c>
      <c r="AQ31" s="44"/>
      <c r="AR31" s="44"/>
      <c r="AS31" s="53"/>
      <c r="AU31" s="3"/>
      <c r="AV31" s="3"/>
      <c r="AW31" s="3"/>
      <c r="AX31" s="3"/>
      <c r="AY31" s="3"/>
    </row>
    <row r="32" spans="1:51" ht="27" customHeight="1" x14ac:dyDescent="0.3">
      <c r="A32" s="8" t="s">
        <v>236</v>
      </c>
      <c r="B32" s="34">
        <v>30</v>
      </c>
      <c r="C32" s="35" t="s">
        <v>105</v>
      </c>
      <c r="D32" s="36" t="s">
        <v>106</v>
      </c>
      <c r="E32" s="43" t="s">
        <v>233</v>
      </c>
      <c r="F32" s="42"/>
      <c r="G32" s="43" t="s">
        <v>233</v>
      </c>
      <c r="H32" s="43"/>
      <c r="I32" s="54"/>
      <c r="J32" s="46" t="s">
        <v>233</v>
      </c>
      <c r="K32" s="51"/>
      <c r="L32" s="42" t="s">
        <v>233</v>
      </c>
      <c r="M32" s="46"/>
      <c r="N32" s="44"/>
      <c r="O32" s="44"/>
      <c r="P32" s="43"/>
      <c r="Q32" s="43"/>
      <c r="R32" s="43"/>
      <c r="S32" s="43"/>
      <c r="T32" s="42" t="s">
        <v>233</v>
      </c>
      <c r="U32" s="51" t="s">
        <v>233</v>
      </c>
      <c r="V32" s="43"/>
      <c r="W32" s="42"/>
      <c r="X32" s="51"/>
      <c r="Y32" s="44"/>
      <c r="Z32" s="46"/>
      <c r="AA32" s="52"/>
      <c r="AB32" s="42" t="s">
        <v>233</v>
      </c>
      <c r="AC32" s="42"/>
      <c r="AD32" s="51" t="s">
        <v>233</v>
      </c>
      <c r="AE32" s="43" t="s">
        <v>233</v>
      </c>
      <c r="AF32" s="43"/>
      <c r="AG32" s="43"/>
      <c r="AH32" s="43"/>
      <c r="AI32" s="43" t="s">
        <v>233</v>
      </c>
      <c r="AJ32" s="43"/>
      <c r="AK32" s="54"/>
      <c r="AL32" s="46" t="s">
        <v>233</v>
      </c>
      <c r="AM32" s="51"/>
      <c r="AN32" s="44"/>
      <c r="AO32" s="43" t="s">
        <v>233</v>
      </c>
      <c r="AP32" s="43"/>
      <c r="AQ32" s="44"/>
      <c r="AR32" s="44"/>
      <c r="AS32" s="53"/>
      <c r="AU32" s="3"/>
      <c r="AV32" s="3"/>
      <c r="AW32" s="3"/>
      <c r="AX32" s="3"/>
      <c r="AY32" s="3"/>
    </row>
    <row r="33" spans="1:51" ht="27" customHeight="1" x14ac:dyDescent="0.3">
      <c r="A33" s="8"/>
      <c r="B33" s="34">
        <v>31</v>
      </c>
      <c r="C33" s="2" t="s">
        <v>108</v>
      </c>
      <c r="D33" s="2" t="s">
        <v>109</v>
      </c>
      <c r="E33" s="43"/>
      <c r="F33" s="42"/>
      <c r="G33" s="43"/>
      <c r="H33" s="43" t="s">
        <v>233</v>
      </c>
      <c r="I33" s="54"/>
      <c r="J33" s="46"/>
      <c r="K33" s="51"/>
      <c r="L33" s="42"/>
      <c r="M33" s="46"/>
      <c r="N33" s="44"/>
      <c r="O33" s="44"/>
      <c r="P33" s="43"/>
      <c r="Q33" s="43"/>
      <c r="R33" s="43"/>
      <c r="S33" s="43"/>
      <c r="T33" s="42"/>
      <c r="U33" s="51"/>
      <c r="V33" s="43"/>
      <c r="W33" s="42" t="s">
        <v>233</v>
      </c>
      <c r="X33" s="51"/>
      <c r="Y33" s="44"/>
      <c r="Z33" s="46"/>
      <c r="AA33" s="52" t="s">
        <v>233</v>
      </c>
      <c r="AB33" s="42" t="s">
        <v>233</v>
      </c>
      <c r="AC33" s="42"/>
      <c r="AD33" s="51"/>
      <c r="AE33" s="43"/>
      <c r="AF33" s="43"/>
      <c r="AG33" s="43"/>
      <c r="AH33" s="43"/>
      <c r="AI33" s="43"/>
      <c r="AJ33" s="43"/>
      <c r="AK33" s="54"/>
      <c r="AL33" s="46"/>
      <c r="AM33" s="51"/>
      <c r="AN33" s="44"/>
      <c r="AO33" s="43"/>
      <c r="AP33" s="43" t="s">
        <v>233</v>
      </c>
      <c r="AQ33" s="44"/>
      <c r="AR33" s="44"/>
      <c r="AS33" s="53"/>
      <c r="AU33" s="3"/>
      <c r="AV33" s="3"/>
      <c r="AW33" s="3"/>
      <c r="AX33" s="3"/>
      <c r="AY33" s="3"/>
    </row>
    <row r="34" spans="1:51" ht="27" customHeight="1" x14ac:dyDescent="0.3">
      <c r="A34" s="8"/>
      <c r="B34" s="34">
        <v>32</v>
      </c>
      <c r="C34" s="2" t="s">
        <v>111</v>
      </c>
      <c r="D34" s="2" t="s">
        <v>112</v>
      </c>
      <c r="E34" s="43"/>
      <c r="F34" s="42"/>
      <c r="G34" s="43"/>
      <c r="H34" s="43" t="s">
        <v>233</v>
      </c>
      <c r="I34" s="54"/>
      <c r="J34" s="46"/>
      <c r="K34" s="51"/>
      <c r="L34" s="42" t="s">
        <v>233</v>
      </c>
      <c r="M34" s="46"/>
      <c r="N34" s="44"/>
      <c r="O34" s="44"/>
      <c r="P34" s="43" t="s">
        <v>233</v>
      </c>
      <c r="Q34" s="43" t="s">
        <v>233</v>
      </c>
      <c r="R34" s="43" t="s">
        <v>233</v>
      </c>
      <c r="S34" s="43"/>
      <c r="T34" s="42"/>
      <c r="U34" s="51"/>
      <c r="V34" s="43" t="s">
        <v>233</v>
      </c>
      <c r="W34" s="42"/>
      <c r="X34" s="51"/>
      <c r="Y34" s="44"/>
      <c r="Z34" s="46"/>
      <c r="AA34" s="52" t="s">
        <v>233</v>
      </c>
      <c r="AB34" s="42"/>
      <c r="AC34" s="42"/>
      <c r="AD34" s="51"/>
      <c r="AE34" s="43"/>
      <c r="AF34" s="43"/>
      <c r="AG34" s="43"/>
      <c r="AH34" s="43"/>
      <c r="AI34" s="43"/>
      <c r="AJ34" s="43"/>
      <c r="AK34" s="54"/>
      <c r="AL34" s="46"/>
      <c r="AM34" s="51"/>
      <c r="AN34" s="44"/>
      <c r="AO34" s="43"/>
      <c r="AP34" s="43" t="s">
        <v>233</v>
      </c>
      <c r="AQ34" s="44"/>
      <c r="AR34" s="44"/>
      <c r="AS34" s="53"/>
      <c r="AU34" s="3"/>
      <c r="AV34" s="3"/>
      <c r="AW34" s="3"/>
      <c r="AX34" s="3"/>
      <c r="AY34" s="3"/>
    </row>
    <row r="35" spans="1:51" ht="27" customHeight="1" x14ac:dyDescent="0.3">
      <c r="A35" s="8"/>
      <c r="B35" s="34">
        <v>33</v>
      </c>
      <c r="C35" s="2" t="s">
        <v>114</v>
      </c>
      <c r="D35" s="2" t="s">
        <v>115</v>
      </c>
      <c r="E35" s="43"/>
      <c r="F35" s="42"/>
      <c r="G35" s="43" t="s">
        <v>233</v>
      </c>
      <c r="H35" s="43" t="s">
        <v>233</v>
      </c>
      <c r="I35" s="54"/>
      <c r="J35" s="46"/>
      <c r="K35" s="51" t="s">
        <v>233</v>
      </c>
      <c r="L35" s="42" t="s">
        <v>233</v>
      </c>
      <c r="M35" s="46"/>
      <c r="N35" s="44"/>
      <c r="O35" s="44"/>
      <c r="P35" s="43"/>
      <c r="Q35" s="43"/>
      <c r="R35" s="43"/>
      <c r="S35" s="43"/>
      <c r="T35" s="42"/>
      <c r="U35" s="51" t="s">
        <v>233</v>
      </c>
      <c r="V35" s="43"/>
      <c r="W35" s="42"/>
      <c r="X35" s="51"/>
      <c r="Y35" s="44"/>
      <c r="Z35" s="46"/>
      <c r="AA35" s="52"/>
      <c r="AB35" s="42" t="s">
        <v>233</v>
      </c>
      <c r="AC35" s="42" t="s">
        <v>233</v>
      </c>
      <c r="AD35" s="51" t="s">
        <v>233</v>
      </c>
      <c r="AE35" s="43" t="s">
        <v>233</v>
      </c>
      <c r="AF35" s="43" t="s">
        <v>233</v>
      </c>
      <c r="AG35" s="43"/>
      <c r="AH35" s="43"/>
      <c r="AI35" s="43"/>
      <c r="AJ35" s="43"/>
      <c r="AK35" s="54"/>
      <c r="AL35" s="46"/>
      <c r="AM35" s="51"/>
      <c r="AN35" s="44"/>
      <c r="AO35" s="43" t="s">
        <v>233</v>
      </c>
      <c r="AP35" s="43"/>
      <c r="AQ35" s="44"/>
      <c r="AR35" s="44"/>
      <c r="AS35" s="53"/>
      <c r="AU35" s="3"/>
      <c r="AV35" s="3"/>
      <c r="AW35" s="3"/>
      <c r="AX35" s="3"/>
      <c r="AY35" s="3"/>
    </row>
    <row r="36" spans="1:51" ht="27" customHeight="1" x14ac:dyDescent="0.3">
      <c r="A36" s="8"/>
      <c r="B36" s="34">
        <v>34</v>
      </c>
      <c r="C36" s="35" t="s">
        <v>117</v>
      </c>
      <c r="D36" s="36" t="s">
        <v>118</v>
      </c>
      <c r="E36" s="43" t="s">
        <v>233</v>
      </c>
      <c r="F36" s="42"/>
      <c r="G36" s="43" t="s">
        <v>233</v>
      </c>
      <c r="H36" s="43"/>
      <c r="I36" s="54"/>
      <c r="J36" s="46"/>
      <c r="K36" s="51"/>
      <c r="L36" s="42" t="s">
        <v>233</v>
      </c>
      <c r="M36" s="46"/>
      <c r="N36" s="44"/>
      <c r="O36" s="44"/>
      <c r="P36" s="43"/>
      <c r="Q36" s="43"/>
      <c r="R36" s="43"/>
      <c r="S36" s="43"/>
      <c r="T36" s="42"/>
      <c r="U36" s="51" t="s">
        <v>233</v>
      </c>
      <c r="V36" s="43"/>
      <c r="W36" s="42"/>
      <c r="X36" s="51"/>
      <c r="Y36" s="44"/>
      <c r="Z36" s="46"/>
      <c r="AA36" s="52"/>
      <c r="AB36" s="42" t="s">
        <v>233</v>
      </c>
      <c r="AC36" s="42"/>
      <c r="AD36" s="51"/>
      <c r="AE36" s="43" t="s">
        <v>233</v>
      </c>
      <c r="AF36" s="43"/>
      <c r="AG36" s="43"/>
      <c r="AH36" s="43"/>
      <c r="AI36" s="43" t="s">
        <v>233</v>
      </c>
      <c r="AJ36" s="43"/>
      <c r="AK36" s="54"/>
      <c r="AL36" s="46"/>
      <c r="AM36" s="51"/>
      <c r="AN36" s="44"/>
      <c r="AO36" s="43" t="s">
        <v>233</v>
      </c>
      <c r="AP36" s="43"/>
      <c r="AQ36" s="44"/>
      <c r="AR36" s="44"/>
      <c r="AS36" s="53"/>
      <c r="AU36" s="3"/>
      <c r="AV36" s="3"/>
      <c r="AW36" s="3"/>
      <c r="AX36" s="3"/>
      <c r="AY36" s="3"/>
    </row>
    <row r="37" spans="1:51" ht="27" customHeight="1" x14ac:dyDescent="0.3">
      <c r="A37" s="8"/>
      <c r="B37" s="34">
        <v>35</v>
      </c>
      <c r="C37" s="35" t="s">
        <v>120</v>
      </c>
      <c r="D37" s="36" t="s">
        <v>121</v>
      </c>
      <c r="E37" s="43"/>
      <c r="F37" s="42"/>
      <c r="G37" s="43"/>
      <c r="H37" s="43" t="s">
        <v>233</v>
      </c>
      <c r="I37" s="54"/>
      <c r="J37" s="46"/>
      <c r="K37" s="51"/>
      <c r="L37" s="42" t="s">
        <v>233</v>
      </c>
      <c r="M37" s="46"/>
      <c r="N37" s="44"/>
      <c r="O37" s="44"/>
      <c r="P37" s="43"/>
      <c r="Q37" s="43"/>
      <c r="R37" s="43"/>
      <c r="S37" s="43"/>
      <c r="T37" s="42"/>
      <c r="U37" s="51"/>
      <c r="V37" s="43"/>
      <c r="W37" s="42" t="s">
        <v>233</v>
      </c>
      <c r="X37" s="51"/>
      <c r="Y37" s="44"/>
      <c r="Z37" s="46"/>
      <c r="AA37" s="52"/>
      <c r="AB37" s="42" t="s">
        <v>233</v>
      </c>
      <c r="AC37" s="42" t="s">
        <v>233</v>
      </c>
      <c r="AD37" s="51"/>
      <c r="AE37" s="43"/>
      <c r="AF37" s="43"/>
      <c r="AG37" s="43"/>
      <c r="AH37" s="43"/>
      <c r="AI37" s="43"/>
      <c r="AJ37" s="43"/>
      <c r="AK37" s="54" t="s">
        <v>233</v>
      </c>
      <c r="AL37" s="46"/>
      <c r="AM37" s="51"/>
      <c r="AN37" s="44"/>
      <c r="AO37" s="43"/>
      <c r="AP37" s="43" t="s">
        <v>233</v>
      </c>
      <c r="AQ37" s="44"/>
      <c r="AR37" s="44"/>
      <c r="AS37" s="53"/>
      <c r="AU37" s="3"/>
      <c r="AV37" s="3"/>
      <c r="AW37" s="3"/>
      <c r="AX37" s="3"/>
      <c r="AY37" s="3"/>
    </row>
    <row r="38" spans="1:51" ht="27" customHeight="1" x14ac:dyDescent="0.3">
      <c r="A38" s="8"/>
      <c r="B38" s="34">
        <v>36</v>
      </c>
      <c r="C38" s="35" t="s">
        <v>123</v>
      </c>
      <c r="D38" s="36" t="s">
        <v>237</v>
      </c>
      <c r="E38" s="43"/>
      <c r="F38" s="42"/>
      <c r="G38" s="43" t="s">
        <v>233</v>
      </c>
      <c r="H38" s="43"/>
      <c r="I38" s="54" t="s">
        <v>233</v>
      </c>
      <c r="J38" s="46" t="s">
        <v>233</v>
      </c>
      <c r="K38" s="51"/>
      <c r="L38" s="42" t="s">
        <v>233</v>
      </c>
      <c r="M38" s="46"/>
      <c r="N38" s="44"/>
      <c r="O38" s="44"/>
      <c r="P38" s="43"/>
      <c r="Q38" s="43"/>
      <c r="R38" s="43" t="s">
        <v>233</v>
      </c>
      <c r="S38" s="43"/>
      <c r="T38" s="42" t="s">
        <v>233</v>
      </c>
      <c r="U38" s="51"/>
      <c r="V38" s="43"/>
      <c r="W38" s="42" t="s">
        <v>233</v>
      </c>
      <c r="X38" s="51"/>
      <c r="Y38" s="44"/>
      <c r="Z38" s="46"/>
      <c r="AA38" s="52" t="s">
        <v>233</v>
      </c>
      <c r="AB38" s="42" t="s">
        <v>233</v>
      </c>
      <c r="AC38" s="42"/>
      <c r="AD38" s="51" t="s">
        <v>233</v>
      </c>
      <c r="AE38" s="43" t="s">
        <v>233</v>
      </c>
      <c r="AF38" s="43"/>
      <c r="AG38" s="43"/>
      <c r="AH38" s="43"/>
      <c r="AI38" s="43"/>
      <c r="AJ38" s="43"/>
      <c r="AK38" s="54"/>
      <c r="AL38" s="46"/>
      <c r="AM38" s="51"/>
      <c r="AN38" s="44"/>
      <c r="AO38" s="43"/>
      <c r="AP38" s="43" t="s">
        <v>233</v>
      </c>
      <c r="AQ38" s="44"/>
      <c r="AR38" s="44"/>
      <c r="AS38" s="53"/>
      <c r="AU38" s="3"/>
      <c r="AV38" s="3"/>
      <c r="AW38" s="3"/>
      <c r="AX38" s="3"/>
      <c r="AY38" s="3"/>
    </row>
    <row r="39" spans="1:51" ht="27" customHeight="1" x14ac:dyDescent="0.3">
      <c r="A39" s="8"/>
      <c r="B39" s="34">
        <v>37</v>
      </c>
      <c r="C39" s="35" t="s">
        <v>126</v>
      </c>
      <c r="D39" s="36" t="s">
        <v>127</v>
      </c>
      <c r="E39" s="43" t="s">
        <v>233</v>
      </c>
      <c r="F39" s="42" t="s">
        <v>233</v>
      </c>
      <c r="G39" s="43" t="s">
        <v>233</v>
      </c>
      <c r="H39" s="43"/>
      <c r="I39" s="54"/>
      <c r="J39" s="46"/>
      <c r="K39" s="51"/>
      <c r="L39" s="42" t="s">
        <v>233</v>
      </c>
      <c r="M39" s="46"/>
      <c r="N39" s="44"/>
      <c r="O39" s="44"/>
      <c r="P39" s="43"/>
      <c r="Q39" s="43"/>
      <c r="R39" s="43"/>
      <c r="S39" s="43"/>
      <c r="T39" s="42"/>
      <c r="U39" s="51" t="s">
        <v>233</v>
      </c>
      <c r="V39" s="43"/>
      <c r="W39" s="42"/>
      <c r="X39" s="51"/>
      <c r="Y39" s="44"/>
      <c r="Z39" s="46"/>
      <c r="AA39" s="52"/>
      <c r="AB39" s="42" t="s">
        <v>233</v>
      </c>
      <c r="AC39" s="42"/>
      <c r="AD39" s="51"/>
      <c r="AE39" s="43" t="s">
        <v>233</v>
      </c>
      <c r="AF39" s="43"/>
      <c r="AG39" s="43"/>
      <c r="AH39" s="43"/>
      <c r="AI39" s="43"/>
      <c r="AJ39" s="43"/>
      <c r="AK39" s="54"/>
      <c r="AL39" s="46"/>
      <c r="AM39" s="51" t="s">
        <v>233</v>
      </c>
      <c r="AN39" s="44"/>
      <c r="AO39" s="43" t="s">
        <v>233</v>
      </c>
      <c r="AP39" s="43"/>
      <c r="AQ39" s="44" t="s">
        <v>233</v>
      </c>
      <c r="AR39" s="44"/>
      <c r="AS39" s="53" t="s">
        <v>233</v>
      </c>
      <c r="AU39" s="3"/>
      <c r="AV39" s="3"/>
      <c r="AW39" s="3"/>
      <c r="AX39" s="3"/>
      <c r="AY39" s="3"/>
    </row>
    <row r="40" spans="1:51" ht="27" customHeight="1" x14ac:dyDescent="0.3">
      <c r="A40" s="8"/>
      <c r="B40" s="34">
        <v>38</v>
      </c>
      <c r="C40" s="35" t="s">
        <v>129</v>
      </c>
      <c r="D40" s="36" t="s">
        <v>130</v>
      </c>
      <c r="E40" s="43" t="s">
        <v>233</v>
      </c>
      <c r="F40" s="42" t="s">
        <v>233</v>
      </c>
      <c r="G40" s="43" t="s">
        <v>233</v>
      </c>
      <c r="H40" s="43"/>
      <c r="I40" s="54"/>
      <c r="J40" s="46" t="s">
        <v>233</v>
      </c>
      <c r="K40" s="51"/>
      <c r="L40" s="42"/>
      <c r="M40" s="46"/>
      <c r="N40" s="44"/>
      <c r="O40" s="44"/>
      <c r="P40" s="43" t="s">
        <v>233</v>
      </c>
      <c r="Q40" s="43" t="s">
        <v>233</v>
      </c>
      <c r="R40" s="43"/>
      <c r="S40" s="43"/>
      <c r="T40" s="42"/>
      <c r="U40" s="51" t="s">
        <v>233</v>
      </c>
      <c r="V40" s="43"/>
      <c r="W40" s="42"/>
      <c r="X40" s="51" t="s">
        <v>233</v>
      </c>
      <c r="Y40" s="44"/>
      <c r="Z40" s="46"/>
      <c r="AA40" s="52"/>
      <c r="AB40" s="42" t="s">
        <v>233</v>
      </c>
      <c r="AC40" s="42"/>
      <c r="AD40" s="51"/>
      <c r="AE40" s="43"/>
      <c r="AF40" s="43"/>
      <c r="AG40" s="43"/>
      <c r="AH40" s="43"/>
      <c r="AI40" s="43"/>
      <c r="AJ40" s="43"/>
      <c r="AK40" s="54" t="s">
        <v>233</v>
      </c>
      <c r="AL40" s="46"/>
      <c r="AM40" s="51" t="s">
        <v>233</v>
      </c>
      <c r="AN40" s="44"/>
      <c r="AO40" s="43" t="s">
        <v>233</v>
      </c>
      <c r="AP40" s="43"/>
      <c r="AQ40" s="44"/>
      <c r="AR40" s="44"/>
      <c r="AS40" s="53" t="s">
        <v>233</v>
      </c>
      <c r="AU40" s="3"/>
      <c r="AV40" s="3"/>
      <c r="AW40" s="3"/>
      <c r="AX40" s="3"/>
      <c r="AY40" s="3"/>
    </row>
    <row r="41" spans="1:51" ht="27" customHeight="1" x14ac:dyDescent="0.3">
      <c r="A41" s="8"/>
      <c r="B41" s="34">
        <v>39</v>
      </c>
      <c r="C41" s="2" t="s">
        <v>132</v>
      </c>
      <c r="D41" s="2" t="s">
        <v>26</v>
      </c>
      <c r="E41" s="43"/>
      <c r="F41" s="42"/>
      <c r="G41" s="43"/>
      <c r="H41" s="43" t="s">
        <v>233</v>
      </c>
      <c r="I41" s="54"/>
      <c r="J41" s="46"/>
      <c r="K41" s="51"/>
      <c r="L41" s="42" t="s">
        <v>233</v>
      </c>
      <c r="M41" s="46"/>
      <c r="N41" s="44"/>
      <c r="O41" s="44"/>
      <c r="P41" s="43"/>
      <c r="Q41" s="43"/>
      <c r="R41" s="43"/>
      <c r="S41" s="43"/>
      <c r="T41" s="42"/>
      <c r="U41" s="51" t="s">
        <v>233</v>
      </c>
      <c r="V41" s="43"/>
      <c r="W41" s="42"/>
      <c r="X41" s="51"/>
      <c r="Y41" s="44"/>
      <c r="Z41" s="46"/>
      <c r="AA41" s="52"/>
      <c r="AB41" s="42" t="s">
        <v>233</v>
      </c>
      <c r="AC41" s="42"/>
      <c r="AD41" s="51"/>
      <c r="AE41" s="43" t="s">
        <v>233</v>
      </c>
      <c r="AF41" s="43"/>
      <c r="AG41" s="43"/>
      <c r="AH41" s="43"/>
      <c r="AI41" s="43" t="s">
        <v>233</v>
      </c>
      <c r="AJ41" s="43"/>
      <c r="AK41" s="54"/>
      <c r="AL41" s="46"/>
      <c r="AM41" s="51"/>
      <c r="AN41" s="44"/>
      <c r="AO41" s="43" t="s">
        <v>233</v>
      </c>
      <c r="AP41" s="43"/>
      <c r="AQ41" s="44"/>
      <c r="AR41" s="44"/>
      <c r="AS41" s="53"/>
      <c r="AU41" s="3"/>
      <c r="AV41" s="3"/>
      <c r="AW41" s="3"/>
      <c r="AX41" s="3"/>
      <c r="AY41" s="3"/>
    </row>
    <row r="42" spans="1:51" ht="27" customHeight="1" x14ac:dyDescent="0.3">
      <c r="A42" s="8"/>
      <c r="B42" s="34">
        <v>40</v>
      </c>
      <c r="C42" s="35" t="s">
        <v>134</v>
      </c>
      <c r="D42" s="36" t="s">
        <v>135</v>
      </c>
      <c r="E42" s="43" t="s">
        <v>233</v>
      </c>
      <c r="F42" s="42" t="s">
        <v>233</v>
      </c>
      <c r="G42" s="43" t="s">
        <v>233</v>
      </c>
      <c r="H42" s="43"/>
      <c r="I42" s="54"/>
      <c r="J42" s="46" t="s">
        <v>233</v>
      </c>
      <c r="K42" s="51" t="s">
        <v>233</v>
      </c>
      <c r="L42" s="42"/>
      <c r="M42" s="46"/>
      <c r="N42" s="44" t="s">
        <v>233</v>
      </c>
      <c r="O42" s="44"/>
      <c r="P42" s="43"/>
      <c r="Q42" s="43"/>
      <c r="R42" s="43"/>
      <c r="S42" s="43"/>
      <c r="T42" s="42"/>
      <c r="U42" s="51" t="s">
        <v>233</v>
      </c>
      <c r="V42" s="43"/>
      <c r="W42" s="42"/>
      <c r="X42" s="51" t="s">
        <v>233</v>
      </c>
      <c r="Y42" s="44"/>
      <c r="Z42" s="46"/>
      <c r="AA42" s="52"/>
      <c r="AB42" s="42" t="s">
        <v>233</v>
      </c>
      <c r="AC42" s="42"/>
      <c r="AD42" s="51"/>
      <c r="AE42" s="43"/>
      <c r="AF42" s="43"/>
      <c r="AG42" s="43"/>
      <c r="AH42" s="43"/>
      <c r="AI42" s="43"/>
      <c r="AJ42" s="43"/>
      <c r="AK42" s="54"/>
      <c r="AL42" s="46"/>
      <c r="AM42" s="51"/>
      <c r="AN42" s="44"/>
      <c r="AO42" s="43" t="s">
        <v>233</v>
      </c>
      <c r="AP42" s="43"/>
      <c r="AQ42" s="44"/>
      <c r="AR42" s="44" t="s">
        <v>233</v>
      </c>
      <c r="AS42" s="53" t="s">
        <v>233</v>
      </c>
      <c r="AU42" s="3"/>
      <c r="AV42" s="3"/>
      <c r="AW42" s="3"/>
      <c r="AX42" s="3"/>
      <c r="AY42" s="3"/>
    </row>
    <row r="43" spans="1:51" ht="27" customHeight="1" x14ac:dyDescent="0.3">
      <c r="A43" s="8"/>
      <c r="B43" s="34">
        <v>42</v>
      </c>
      <c r="C43" s="35" t="s">
        <v>137</v>
      </c>
      <c r="D43" s="36" t="s">
        <v>138</v>
      </c>
      <c r="E43" s="43"/>
      <c r="F43" s="42"/>
      <c r="G43" s="43"/>
      <c r="H43" s="43"/>
      <c r="I43" s="54" t="s">
        <v>233</v>
      </c>
      <c r="J43" s="46"/>
      <c r="K43" s="51"/>
      <c r="L43" s="42" t="s">
        <v>233</v>
      </c>
      <c r="M43" s="46"/>
      <c r="N43" s="44"/>
      <c r="O43" s="44" t="s">
        <v>233</v>
      </c>
      <c r="P43" s="43"/>
      <c r="Q43" s="43"/>
      <c r="R43" s="43"/>
      <c r="S43" s="43"/>
      <c r="T43" s="42"/>
      <c r="U43" s="51"/>
      <c r="V43" s="43" t="s">
        <v>233</v>
      </c>
      <c r="W43" s="42"/>
      <c r="X43" s="51"/>
      <c r="Y43" s="44"/>
      <c r="Z43" s="46"/>
      <c r="AA43" s="52" t="s">
        <v>233</v>
      </c>
      <c r="AB43" s="42"/>
      <c r="AC43" s="42"/>
      <c r="AD43" s="51"/>
      <c r="AE43" s="43" t="s">
        <v>233</v>
      </c>
      <c r="AF43" s="43"/>
      <c r="AG43" s="43"/>
      <c r="AH43" s="43"/>
      <c r="AI43" s="43"/>
      <c r="AJ43" s="43"/>
      <c r="AK43" s="54" t="s">
        <v>233</v>
      </c>
      <c r="AL43" s="46"/>
      <c r="AM43" s="51"/>
      <c r="AN43" s="44"/>
      <c r="AO43" s="43"/>
      <c r="AP43" s="43" t="s">
        <v>233</v>
      </c>
      <c r="AQ43" s="44"/>
      <c r="AR43" s="44"/>
      <c r="AS43" s="53"/>
      <c r="AU43" s="3"/>
      <c r="AV43" s="3"/>
      <c r="AW43" s="3"/>
      <c r="AX43" s="3"/>
      <c r="AY43" s="3"/>
    </row>
    <row r="44" spans="1:51" ht="27" customHeight="1" x14ac:dyDescent="0.3">
      <c r="A44" s="8"/>
      <c r="B44" s="34">
        <v>43</v>
      </c>
      <c r="C44" s="35" t="s">
        <v>140</v>
      </c>
      <c r="D44" s="36" t="s">
        <v>141</v>
      </c>
      <c r="E44" s="43"/>
      <c r="F44" s="42"/>
      <c r="G44" s="43" t="s">
        <v>233</v>
      </c>
      <c r="H44" s="43"/>
      <c r="I44" s="54" t="s">
        <v>233</v>
      </c>
      <c r="J44" s="46"/>
      <c r="K44" s="51"/>
      <c r="L44" s="42" t="s">
        <v>233</v>
      </c>
      <c r="M44" s="46"/>
      <c r="N44" s="44"/>
      <c r="O44" s="44"/>
      <c r="P44" s="43"/>
      <c r="Q44" s="43"/>
      <c r="R44" s="43"/>
      <c r="S44" s="43"/>
      <c r="T44" s="42"/>
      <c r="U44" s="51"/>
      <c r="V44" s="43" t="s">
        <v>233</v>
      </c>
      <c r="W44" s="42"/>
      <c r="X44" s="51"/>
      <c r="Y44" s="44"/>
      <c r="Z44" s="46"/>
      <c r="AA44" s="52" t="s">
        <v>233</v>
      </c>
      <c r="AB44" s="42"/>
      <c r="AC44" s="42"/>
      <c r="AD44" s="51"/>
      <c r="AE44" s="43"/>
      <c r="AF44" s="43"/>
      <c r="AG44" s="43"/>
      <c r="AH44" s="43"/>
      <c r="AI44" s="43"/>
      <c r="AJ44" s="43"/>
      <c r="AK44" s="54"/>
      <c r="AL44" s="46"/>
      <c r="AM44" s="51"/>
      <c r="AN44" s="44"/>
      <c r="AO44" s="43"/>
      <c r="AP44" s="43" t="s">
        <v>233</v>
      </c>
      <c r="AQ44" s="44"/>
      <c r="AR44" s="44"/>
      <c r="AS44" s="53"/>
      <c r="AU44" s="3"/>
      <c r="AV44" s="3"/>
      <c r="AW44" s="3"/>
      <c r="AX44" s="3"/>
      <c r="AY44" s="3"/>
    </row>
    <row r="45" spans="1:51" ht="27" customHeight="1" x14ac:dyDescent="0.3">
      <c r="A45" s="8"/>
      <c r="B45" s="34">
        <v>44</v>
      </c>
      <c r="C45" s="35" t="s">
        <v>143</v>
      </c>
      <c r="D45" s="36" t="s">
        <v>144</v>
      </c>
      <c r="E45" s="43"/>
      <c r="F45" s="42"/>
      <c r="G45" s="43" t="s">
        <v>233</v>
      </c>
      <c r="H45" s="43"/>
      <c r="I45" s="54"/>
      <c r="J45" s="46"/>
      <c r="K45" s="51" t="s">
        <v>233</v>
      </c>
      <c r="L45" s="42"/>
      <c r="M45" s="46"/>
      <c r="N45" s="44"/>
      <c r="O45" s="44"/>
      <c r="P45" s="43" t="s">
        <v>233</v>
      </c>
      <c r="Q45" s="43" t="s">
        <v>233</v>
      </c>
      <c r="R45" s="43"/>
      <c r="S45" s="43"/>
      <c r="T45" s="42"/>
      <c r="U45" s="51" t="s">
        <v>233</v>
      </c>
      <c r="V45" s="43"/>
      <c r="W45" s="42"/>
      <c r="X45" s="51"/>
      <c r="Y45" s="44"/>
      <c r="Z45" s="46"/>
      <c r="AA45" s="52"/>
      <c r="AB45" s="42" t="s">
        <v>233</v>
      </c>
      <c r="AC45" s="42"/>
      <c r="AD45" s="51"/>
      <c r="AE45" s="43"/>
      <c r="AF45" s="43"/>
      <c r="AG45" s="43"/>
      <c r="AH45" s="43"/>
      <c r="AI45" s="43"/>
      <c r="AJ45" s="43"/>
      <c r="AK45" s="54"/>
      <c r="AL45" s="46"/>
      <c r="AM45" s="51" t="s">
        <v>233</v>
      </c>
      <c r="AN45" s="44" t="s">
        <v>233</v>
      </c>
      <c r="AO45" s="43" t="s">
        <v>233</v>
      </c>
      <c r="AP45" s="43"/>
      <c r="AQ45" s="44" t="s">
        <v>233</v>
      </c>
      <c r="AR45" s="44"/>
      <c r="AS45" s="53"/>
      <c r="AU45" s="3"/>
      <c r="AV45" s="3"/>
      <c r="AW45" s="3"/>
      <c r="AX45" s="3"/>
      <c r="AY45" s="3"/>
    </row>
    <row r="46" spans="1:51" ht="27" customHeight="1" x14ac:dyDescent="0.3">
      <c r="A46" s="8"/>
      <c r="B46" s="34">
        <v>45</v>
      </c>
      <c r="C46" s="35" t="s">
        <v>146</v>
      </c>
      <c r="D46" s="36" t="s">
        <v>147</v>
      </c>
      <c r="E46" s="43"/>
      <c r="F46" s="42"/>
      <c r="G46" s="43" t="s">
        <v>233</v>
      </c>
      <c r="H46" s="43"/>
      <c r="I46" s="54"/>
      <c r="J46" s="46"/>
      <c r="K46" s="51" t="s">
        <v>233</v>
      </c>
      <c r="L46" s="42"/>
      <c r="M46" s="46"/>
      <c r="N46" s="44"/>
      <c r="O46" s="44" t="s">
        <v>233</v>
      </c>
      <c r="P46" s="44" t="s">
        <v>233</v>
      </c>
      <c r="Q46" s="44" t="s">
        <v>233</v>
      </c>
      <c r="R46" s="43"/>
      <c r="S46" s="43"/>
      <c r="T46" s="42" t="s">
        <v>233</v>
      </c>
      <c r="U46" s="51" t="s">
        <v>233</v>
      </c>
      <c r="V46" s="43"/>
      <c r="W46" s="42"/>
      <c r="X46" s="51"/>
      <c r="Y46" s="44"/>
      <c r="Z46" s="46"/>
      <c r="AA46" s="52"/>
      <c r="AB46" s="42" t="s">
        <v>233</v>
      </c>
      <c r="AC46" s="42"/>
      <c r="AD46" s="51"/>
      <c r="AE46" s="43" t="s">
        <v>233</v>
      </c>
      <c r="AF46" s="43"/>
      <c r="AG46" s="43"/>
      <c r="AH46" s="43"/>
      <c r="AI46" s="43"/>
      <c r="AJ46" s="43"/>
      <c r="AK46" s="54"/>
      <c r="AL46" s="46"/>
      <c r="AM46" s="51" t="s">
        <v>233</v>
      </c>
      <c r="AN46" s="44" t="s">
        <v>233</v>
      </c>
      <c r="AO46" s="43" t="s">
        <v>233</v>
      </c>
      <c r="AP46" s="43"/>
      <c r="AQ46" s="44"/>
      <c r="AR46" s="44"/>
      <c r="AS46" s="53" t="s">
        <v>233</v>
      </c>
      <c r="AU46" s="3"/>
      <c r="AV46" s="3"/>
      <c r="AW46" s="3"/>
      <c r="AX46" s="3"/>
      <c r="AY46" s="3"/>
    </row>
    <row r="47" spans="1:51" ht="27" customHeight="1" x14ac:dyDescent="0.3">
      <c r="A47" s="8"/>
      <c r="B47" s="34">
        <v>46</v>
      </c>
      <c r="C47" s="35" t="s">
        <v>149</v>
      </c>
      <c r="D47" s="36" t="s">
        <v>150</v>
      </c>
      <c r="E47" s="43"/>
      <c r="F47" s="42"/>
      <c r="G47" s="43" t="s">
        <v>233</v>
      </c>
      <c r="H47" s="43" t="s">
        <v>233</v>
      </c>
      <c r="I47" s="54"/>
      <c r="J47" s="46"/>
      <c r="K47" s="51"/>
      <c r="L47" s="42" t="s">
        <v>233</v>
      </c>
      <c r="M47" s="46"/>
      <c r="N47" s="44"/>
      <c r="O47" s="44"/>
      <c r="P47" s="43" t="s">
        <v>233</v>
      </c>
      <c r="Q47" s="43"/>
      <c r="R47" s="43" t="s">
        <v>233</v>
      </c>
      <c r="S47" s="43"/>
      <c r="T47" s="42" t="s">
        <v>233</v>
      </c>
      <c r="U47" s="51"/>
      <c r="V47" s="43"/>
      <c r="W47" s="42" t="s">
        <v>233</v>
      </c>
      <c r="X47" s="51"/>
      <c r="Y47" s="44"/>
      <c r="Z47" s="46"/>
      <c r="AA47" s="52"/>
      <c r="AB47" s="42"/>
      <c r="AC47" s="42" t="s">
        <v>233</v>
      </c>
      <c r="AD47" s="51"/>
      <c r="AE47" s="43" t="s">
        <v>233</v>
      </c>
      <c r="AF47" s="43"/>
      <c r="AG47" s="43"/>
      <c r="AH47" s="43"/>
      <c r="AI47" s="43" t="s">
        <v>233</v>
      </c>
      <c r="AJ47" s="43"/>
      <c r="AK47" s="54"/>
      <c r="AL47" s="46"/>
      <c r="AM47" s="51"/>
      <c r="AN47" s="44"/>
      <c r="AO47" s="43"/>
      <c r="AP47" s="43" t="s">
        <v>233</v>
      </c>
      <c r="AQ47" s="44"/>
      <c r="AR47" s="44"/>
      <c r="AS47" s="53"/>
      <c r="AU47" s="3"/>
      <c r="AV47" s="3"/>
      <c r="AW47" s="3"/>
      <c r="AX47" s="3"/>
      <c r="AY47" s="3"/>
    </row>
    <row r="48" spans="1:51" ht="27" customHeight="1" x14ac:dyDescent="0.3">
      <c r="A48" s="8"/>
      <c r="B48" s="34">
        <v>47</v>
      </c>
      <c r="C48" s="35" t="s">
        <v>152</v>
      </c>
      <c r="D48" s="36" t="s">
        <v>153</v>
      </c>
      <c r="E48" s="43"/>
      <c r="F48" s="42"/>
      <c r="G48" s="43"/>
      <c r="H48" s="43" t="s">
        <v>233</v>
      </c>
      <c r="I48" s="54"/>
      <c r="J48" s="46"/>
      <c r="K48" s="51"/>
      <c r="L48" s="42" t="s">
        <v>233</v>
      </c>
      <c r="M48" s="46"/>
      <c r="N48" s="44"/>
      <c r="O48" s="44"/>
      <c r="P48" s="43" t="s">
        <v>233</v>
      </c>
      <c r="Q48" s="43"/>
      <c r="R48" s="43"/>
      <c r="S48" s="43"/>
      <c r="T48" s="42"/>
      <c r="U48" s="51"/>
      <c r="V48" s="43"/>
      <c r="W48" s="42" t="s">
        <v>233</v>
      </c>
      <c r="X48" s="51"/>
      <c r="Y48" s="44"/>
      <c r="Z48" s="46"/>
      <c r="AA48" s="52" t="s">
        <v>233</v>
      </c>
      <c r="AB48" s="42" t="s">
        <v>233</v>
      </c>
      <c r="AC48" s="42"/>
      <c r="AD48" s="51" t="s">
        <v>233</v>
      </c>
      <c r="AE48" s="43"/>
      <c r="AF48" s="43"/>
      <c r="AG48" s="43"/>
      <c r="AH48" s="43"/>
      <c r="AI48" s="43"/>
      <c r="AJ48" s="43"/>
      <c r="AK48" s="54"/>
      <c r="AL48" s="46"/>
      <c r="AM48" s="51"/>
      <c r="AN48" s="44"/>
      <c r="AO48" s="43"/>
      <c r="AP48" s="43" t="s">
        <v>233</v>
      </c>
      <c r="AQ48" s="44"/>
      <c r="AR48" s="44"/>
      <c r="AS48" s="53"/>
      <c r="AU48" s="3"/>
      <c r="AV48" s="3"/>
      <c r="AW48" s="3"/>
      <c r="AX48" s="3"/>
      <c r="AY48" s="3"/>
    </row>
    <row r="49" spans="1:51" ht="27" customHeight="1" x14ac:dyDescent="0.3">
      <c r="A49" s="8"/>
      <c r="B49" s="34">
        <v>48</v>
      </c>
      <c r="C49" s="35" t="s">
        <v>155</v>
      </c>
      <c r="D49" s="36" t="s">
        <v>156</v>
      </c>
      <c r="E49" s="43"/>
      <c r="F49" s="42"/>
      <c r="G49" s="43" t="s">
        <v>233</v>
      </c>
      <c r="H49" s="43"/>
      <c r="I49" s="54" t="s">
        <v>233</v>
      </c>
      <c r="J49" s="46"/>
      <c r="K49" s="51"/>
      <c r="L49" s="42" t="s">
        <v>233</v>
      </c>
      <c r="M49" s="46"/>
      <c r="N49" s="44"/>
      <c r="O49" s="44"/>
      <c r="P49" s="43"/>
      <c r="Q49" s="43"/>
      <c r="R49" s="43"/>
      <c r="S49" s="43"/>
      <c r="T49" s="42"/>
      <c r="U49" s="51"/>
      <c r="V49" s="43"/>
      <c r="W49" s="42" t="s">
        <v>233</v>
      </c>
      <c r="X49" s="51"/>
      <c r="Y49" s="44"/>
      <c r="Z49" s="46"/>
      <c r="AA49" s="52" t="s">
        <v>233</v>
      </c>
      <c r="AB49" s="42" t="s">
        <v>233</v>
      </c>
      <c r="AC49" s="42"/>
      <c r="AD49" s="51"/>
      <c r="AE49" s="43" t="s">
        <v>233</v>
      </c>
      <c r="AF49" s="43"/>
      <c r="AG49" s="43"/>
      <c r="AH49" s="43"/>
      <c r="AI49" s="43"/>
      <c r="AJ49" s="43"/>
      <c r="AK49" s="54"/>
      <c r="AL49" s="46"/>
      <c r="AM49" s="51"/>
      <c r="AN49" s="44"/>
      <c r="AO49" s="43"/>
      <c r="AP49" s="43" t="s">
        <v>233</v>
      </c>
      <c r="AQ49" s="44"/>
      <c r="AR49" s="44"/>
      <c r="AS49" s="53"/>
      <c r="AU49" s="3"/>
      <c r="AV49" s="3"/>
      <c r="AW49" s="3"/>
      <c r="AX49" s="3"/>
      <c r="AY49" s="3"/>
    </row>
    <row r="50" spans="1:51" ht="27" customHeight="1" x14ac:dyDescent="0.3">
      <c r="A50" s="8"/>
      <c r="B50" s="34">
        <v>49</v>
      </c>
      <c r="C50" s="35" t="s">
        <v>158</v>
      </c>
      <c r="D50" s="36" t="s">
        <v>159</v>
      </c>
      <c r="E50" s="43"/>
      <c r="F50" s="42"/>
      <c r="G50" s="43" t="s">
        <v>233</v>
      </c>
      <c r="H50" s="43"/>
      <c r="I50" s="54" t="s">
        <v>233</v>
      </c>
      <c r="J50" s="46"/>
      <c r="K50" s="51" t="s">
        <v>233</v>
      </c>
      <c r="L50" s="42"/>
      <c r="M50" s="46"/>
      <c r="N50" s="44"/>
      <c r="O50" s="44"/>
      <c r="P50" s="43"/>
      <c r="Q50" s="43"/>
      <c r="R50" s="43"/>
      <c r="S50" s="43"/>
      <c r="T50" s="42"/>
      <c r="U50" s="51"/>
      <c r="V50" s="43"/>
      <c r="W50" s="42" t="s">
        <v>233</v>
      </c>
      <c r="X50" s="51"/>
      <c r="Y50" s="44"/>
      <c r="Z50" s="46"/>
      <c r="AA50" s="52"/>
      <c r="AB50" s="42" t="s">
        <v>233</v>
      </c>
      <c r="AC50" s="42" t="s">
        <v>233</v>
      </c>
      <c r="AD50" s="51"/>
      <c r="AE50" s="43"/>
      <c r="AF50" s="43"/>
      <c r="AG50" s="43"/>
      <c r="AH50" s="43" t="s">
        <v>233</v>
      </c>
      <c r="AI50" s="43"/>
      <c r="AJ50" s="43"/>
      <c r="AK50" s="54"/>
      <c r="AL50" s="46"/>
      <c r="AM50" s="51"/>
      <c r="AN50" s="44"/>
      <c r="AO50" s="43"/>
      <c r="AP50" s="43" t="s">
        <v>233</v>
      </c>
      <c r="AQ50" s="44"/>
      <c r="AR50" s="44"/>
      <c r="AS50" s="53"/>
      <c r="AU50" s="3"/>
      <c r="AV50" s="3"/>
      <c r="AW50" s="3"/>
      <c r="AX50" s="3"/>
      <c r="AY50" s="3"/>
    </row>
    <row r="51" spans="1:51" ht="27" customHeight="1" x14ac:dyDescent="0.3">
      <c r="A51" s="8"/>
      <c r="B51" s="34">
        <v>50</v>
      </c>
      <c r="C51" s="35" t="s">
        <v>161</v>
      </c>
      <c r="D51" s="36" t="s">
        <v>162</v>
      </c>
      <c r="E51" s="43"/>
      <c r="F51" s="42"/>
      <c r="G51" s="43" t="s">
        <v>233</v>
      </c>
      <c r="H51" s="43" t="s">
        <v>233</v>
      </c>
      <c r="I51" s="54"/>
      <c r="J51" s="46"/>
      <c r="K51" s="51" t="s">
        <v>233</v>
      </c>
      <c r="L51" s="42"/>
      <c r="M51" s="46"/>
      <c r="N51" s="44"/>
      <c r="O51" s="44"/>
      <c r="P51" s="43" t="s">
        <v>233</v>
      </c>
      <c r="Q51" s="43"/>
      <c r="R51" s="43" t="s">
        <v>233</v>
      </c>
      <c r="S51" s="43"/>
      <c r="T51" s="42" t="s">
        <v>233</v>
      </c>
      <c r="U51" s="51"/>
      <c r="V51" s="43"/>
      <c r="W51" s="42" t="s">
        <v>233</v>
      </c>
      <c r="X51" s="51"/>
      <c r="Y51" s="44"/>
      <c r="Z51" s="46"/>
      <c r="AA51" s="52" t="s">
        <v>233</v>
      </c>
      <c r="AB51" s="42" t="s">
        <v>233</v>
      </c>
      <c r="AC51" s="42"/>
      <c r="AD51" s="51"/>
      <c r="AE51" s="43" t="s">
        <v>233</v>
      </c>
      <c r="AF51" s="43"/>
      <c r="AG51" s="43"/>
      <c r="AH51" s="43"/>
      <c r="AI51" s="43"/>
      <c r="AJ51" s="43"/>
      <c r="AK51" s="54" t="s">
        <v>233</v>
      </c>
      <c r="AL51" s="46"/>
      <c r="AM51" s="51"/>
      <c r="AN51" s="44"/>
      <c r="AO51" s="43"/>
      <c r="AP51" s="43" t="s">
        <v>233</v>
      </c>
      <c r="AQ51" s="44"/>
      <c r="AR51" s="44"/>
      <c r="AS51" s="53"/>
      <c r="AU51" s="3"/>
      <c r="AV51" s="3"/>
      <c r="AW51" s="3"/>
      <c r="AX51" s="3"/>
      <c r="AY51" s="3"/>
    </row>
    <row r="52" spans="1:51" ht="27" customHeight="1" x14ac:dyDescent="0.3">
      <c r="A52" s="8"/>
      <c r="B52" s="34">
        <v>51</v>
      </c>
      <c r="C52" s="35" t="s">
        <v>164</v>
      </c>
      <c r="D52" s="36" t="s">
        <v>165</v>
      </c>
      <c r="E52" s="43"/>
      <c r="F52" s="42"/>
      <c r="G52" s="43"/>
      <c r="H52" s="43" t="s">
        <v>233</v>
      </c>
      <c r="I52" s="54"/>
      <c r="J52" s="46"/>
      <c r="K52" s="51" t="s">
        <v>233</v>
      </c>
      <c r="L52" s="42"/>
      <c r="M52" s="46"/>
      <c r="N52" s="44"/>
      <c r="O52" s="44"/>
      <c r="P52" s="43" t="s">
        <v>233</v>
      </c>
      <c r="Q52" s="43" t="s">
        <v>233</v>
      </c>
      <c r="R52" s="43"/>
      <c r="S52" s="43"/>
      <c r="T52" s="42"/>
      <c r="U52" s="51"/>
      <c r="V52" s="43" t="s">
        <v>233</v>
      </c>
      <c r="W52" s="42"/>
      <c r="X52" s="51"/>
      <c r="Y52" s="44"/>
      <c r="Z52" s="46"/>
      <c r="AA52" s="52"/>
      <c r="AB52" s="42"/>
      <c r="AC52" s="42" t="s">
        <v>233</v>
      </c>
      <c r="AD52" s="51" t="s">
        <v>233</v>
      </c>
      <c r="AE52" s="43"/>
      <c r="AF52" s="43"/>
      <c r="AG52" s="43"/>
      <c r="AH52" s="43" t="s">
        <v>233</v>
      </c>
      <c r="AI52" s="43"/>
      <c r="AJ52" s="43"/>
      <c r="AK52" s="54"/>
      <c r="AL52" s="46"/>
      <c r="AM52" s="51"/>
      <c r="AN52" s="44"/>
      <c r="AO52" s="43"/>
      <c r="AP52" s="43" t="s">
        <v>233</v>
      </c>
      <c r="AQ52" s="44"/>
      <c r="AR52" s="44"/>
      <c r="AS52" s="53"/>
      <c r="AU52" s="3"/>
      <c r="AV52" s="3"/>
      <c r="AW52" s="3"/>
      <c r="AX52" s="3"/>
      <c r="AY52" s="3"/>
    </row>
    <row r="53" spans="1:51" ht="27" customHeight="1" x14ac:dyDescent="0.3">
      <c r="A53" s="8"/>
      <c r="B53" s="34">
        <v>52</v>
      </c>
      <c r="C53" s="35" t="s">
        <v>168</v>
      </c>
      <c r="D53" s="36" t="s">
        <v>169</v>
      </c>
      <c r="E53" s="43"/>
      <c r="F53" s="42"/>
      <c r="G53" s="43" t="s">
        <v>233</v>
      </c>
      <c r="H53" s="43" t="s">
        <v>233</v>
      </c>
      <c r="I53" s="54"/>
      <c r="J53" s="46"/>
      <c r="K53" s="51" t="s">
        <v>233</v>
      </c>
      <c r="L53" s="42" t="s">
        <v>233</v>
      </c>
      <c r="M53" s="46"/>
      <c r="N53" s="44"/>
      <c r="O53" s="44"/>
      <c r="P53" s="43"/>
      <c r="Q53" s="43"/>
      <c r="R53" s="43"/>
      <c r="S53" s="43"/>
      <c r="T53" s="42"/>
      <c r="U53" s="51" t="s">
        <v>233</v>
      </c>
      <c r="V53" s="43"/>
      <c r="W53" s="42"/>
      <c r="X53" s="51"/>
      <c r="Y53" s="44"/>
      <c r="Z53" s="46"/>
      <c r="AA53" s="52"/>
      <c r="AB53" s="42" t="s">
        <v>233</v>
      </c>
      <c r="AC53" s="42"/>
      <c r="AD53" s="51"/>
      <c r="AE53" s="43" t="s">
        <v>233</v>
      </c>
      <c r="AF53" s="43"/>
      <c r="AG53" s="43"/>
      <c r="AH53" s="43"/>
      <c r="AI53" s="43" t="s">
        <v>233</v>
      </c>
      <c r="AJ53" s="43"/>
      <c r="AK53" s="54"/>
      <c r="AL53" s="46"/>
      <c r="AM53" s="51" t="s">
        <v>233</v>
      </c>
      <c r="AN53" s="44"/>
      <c r="AO53" s="43" t="s">
        <v>233</v>
      </c>
      <c r="AP53" s="43"/>
      <c r="AQ53" s="44"/>
      <c r="AR53" s="44"/>
      <c r="AS53" s="53"/>
      <c r="AU53" s="3"/>
      <c r="AV53" s="3"/>
      <c r="AW53" s="3"/>
      <c r="AX53" s="3"/>
      <c r="AY53" s="3"/>
    </row>
    <row r="54" spans="1:51" ht="27" customHeight="1" x14ac:dyDescent="0.3">
      <c r="A54" s="8"/>
      <c r="B54" s="34">
        <v>53</v>
      </c>
      <c r="C54" s="35" t="s">
        <v>171</v>
      </c>
      <c r="D54" s="36" t="s">
        <v>172</v>
      </c>
      <c r="E54" s="43" t="s">
        <v>233</v>
      </c>
      <c r="F54" s="42" t="s">
        <v>233</v>
      </c>
      <c r="G54" s="43" t="s">
        <v>233</v>
      </c>
      <c r="H54" s="43"/>
      <c r="I54" s="54"/>
      <c r="J54" s="46" t="s">
        <v>233</v>
      </c>
      <c r="K54" s="51" t="s">
        <v>233</v>
      </c>
      <c r="L54" s="42"/>
      <c r="M54" s="46"/>
      <c r="N54" s="44" t="s">
        <v>233</v>
      </c>
      <c r="O54" s="44"/>
      <c r="P54" s="43"/>
      <c r="Q54" s="43"/>
      <c r="R54" s="43"/>
      <c r="S54" s="43"/>
      <c r="T54" s="42"/>
      <c r="U54" s="51"/>
      <c r="V54" s="43"/>
      <c r="W54" s="42" t="s">
        <v>233</v>
      </c>
      <c r="X54" s="51" t="s">
        <v>233</v>
      </c>
      <c r="Y54" s="44" t="s">
        <v>233</v>
      </c>
      <c r="Z54" s="46"/>
      <c r="AA54" s="52" t="s">
        <v>233</v>
      </c>
      <c r="AB54" s="42" t="s">
        <v>233</v>
      </c>
      <c r="AC54" s="42"/>
      <c r="AD54" s="51"/>
      <c r="AE54" s="43"/>
      <c r="AF54" s="43"/>
      <c r="AG54" s="43"/>
      <c r="AH54" s="43"/>
      <c r="AI54" s="43"/>
      <c r="AJ54" s="43"/>
      <c r="AK54" s="54"/>
      <c r="AL54" s="46"/>
      <c r="AM54" s="51" t="s">
        <v>233</v>
      </c>
      <c r="AN54" s="44"/>
      <c r="AO54" s="43" t="s">
        <v>233</v>
      </c>
      <c r="AP54" s="43"/>
      <c r="AQ54" s="44"/>
      <c r="AR54" s="44"/>
      <c r="AS54" s="53" t="s">
        <v>233</v>
      </c>
      <c r="AU54" s="3"/>
      <c r="AV54" s="3"/>
      <c r="AW54" s="3"/>
      <c r="AX54" s="3"/>
      <c r="AY54" s="3"/>
    </row>
    <row r="55" spans="1:51" ht="27" customHeight="1" thickBot="1" x14ac:dyDescent="0.35">
      <c r="A55" s="8"/>
      <c r="B55" s="61">
        <v>54</v>
      </c>
      <c r="C55" s="62" t="s">
        <v>174</v>
      </c>
      <c r="D55" s="63" t="s">
        <v>175</v>
      </c>
      <c r="E55" s="39"/>
      <c r="F55" s="56"/>
      <c r="G55" s="39"/>
      <c r="H55" s="39"/>
      <c r="I55" s="58" t="s">
        <v>233</v>
      </c>
      <c r="J55" s="40"/>
      <c r="K55" s="45" t="s">
        <v>233</v>
      </c>
      <c r="L55" s="56" t="s">
        <v>233</v>
      </c>
      <c r="M55" s="40"/>
      <c r="N55" s="57"/>
      <c r="O55" s="57"/>
      <c r="P55" s="39"/>
      <c r="Q55" s="39"/>
      <c r="R55" s="39"/>
      <c r="S55" s="39"/>
      <c r="T55" s="56"/>
      <c r="U55" s="45"/>
      <c r="V55" s="39" t="s">
        <v>233</v>
      </c>
      <c r="W55" s="56"/>
      <c r="X55" s="45"/>
      <c r="Y55" s="57"/>
      <c r="Z55" s="40"/>
      <c r="AA55" s="59" t="s">
        <v>233</v>
      </c>
      <c r="AB55" s="56"/>
      <c r="AC55" s="56"/>
      <c r="AD55" s="45"/>
      <c r="AE55" s="39"/>
      <c r="AF55" s="39"/>
      <c r="AG55" s="39"/>
      <c r="AH55" s="39"/>
      <c r="AI55" s="39"/>
      <c r="AJ55" s="39"/>
      <c r="AK55" s="58"/>
      <c r="AL55" s="40"/>
      <c r="AM55" s="45"/>
      <c r="AN55" s="57"/>
      <c r="AO55" s="39"/>
      <c r="AP55" s="39" t="s">
        <v>233</v>
      </c>
      <c r="AQ55" s="57"/>
      <c r="AR55" s="57" t="s">
        <v>233</v>
      </c>
      <c r="AS55" s="60" t="s">
        <v>233</v>
      </c>
      <c r="AU55" s="3"/>
      <c r="AV55" s="3"/>
      <c r="AW55" s="3"/>
      <c r="AX55" s="3"/>
      <c r="AY55" s="3"/>
    </row>
    <row r="56" spans="1:51" s="64" customFormat="1" ht="27" customHeight="1" thickTop="1" x14ac:dyDescent="0.3">
      <c r="B56" s="65"/>
      <c r="C56" s="66" t="s">
        <v>238</v>
      </c>
      <c r="D56" s="67">
        <f>COUNTA(D5:D55)</f>
        <v>51</v>
      </c>
      <c r="E56" s="68">
        <f>COUNTA(E5:E55)</f>
        <v>15</v>
      </c>
      <c r="F56" s="68">
        <f t="shared" ref="F56:AS56" si="0">COUNTA(F5:F55)</f>
        <v>10</v>
      </c>
      <c r="G56" s="68">
        <f>COUNTA(G5:G55)</f>
        <v>31</v>
      </c>
      <c r="H56" s="68">
        <f>COUNTA(H5:H55)</f>
        <v>29</v>
      </c>
      <c r="I56" s="68">
        <f t="shared" si="0"/>
        <v>9</v>
      </c>
      <c r="J56" s="69">
        <f t="shared" si="0"/>
        <v>7</v>
      </c>
      <c r="K56" s="70">
        <f t="shared" si="0"/>
        <v>24</v>
      </c>
      <c r="L56" s="68">
        <f t="shared" si="0"/>
        <v>32</v>
      </c>
      <c r="M56" s="71">
        <f t="shared" si="0"/>
        <v>2</v>
      </c>
      <c r="N56" s="72">
        <f t="shared" si="0"/>
        <v>6</v>
      </c>
      <c r="O56" s="68">
        <f t="shared" si="0"/>
        <v>15</v>
      </c>
      <c r="P56" s="68">
        <f t="shared" si="0"/>
        <v>24</v>
      </c>
      <c r="Q56" s="68">
        <f t="shared" si="0"/>
        <v>8</v>
      </c>
      <c r="R56" s="68">
        <f t="shared" si="0"/>
        <v>9</v>
      </c>
      <c r="S56" s="68">
        <f t="shared" si="0"/>
        <v>7</v>
      </c>
      <c r="T56" s="69">
        <f t="shared" si="0"/>
        <v>22</v>
      </c>
      <c r="U56" s="70">
        <f t="shared" si="0"/>
        <v>25</v>
      </c>
      <c r="V56" s="68">
        <f t="shared" si="0"/>
        <v>9</v>
      </c>
      <c r="W56" s="71">
        <f t="shared" si="0"/>
        <v>17</v>
      </c>
      <c r="X56" s="72">
        <f t="shared" si="0"/>
        <v>12</v>
      </c>
      <c r="Y56" s="68">
        <f t="shared" si="0"/>
        <v>7</v>
      </c>
      <c r="Z56" s="69">
        <f t="shared" si="0"/>
        <v>3</v>
      </c>
      <c r="AA56" s="70">
        <f t="shared" si="0"/>
        <v>18</v>
      </c>
      <c r="AB56" s="68">
        <f t="shared" si="0"/>
        <v>39</v>
      </c>
      <c r="AC56" s="69">
        <f t="shared" si="0"/>
        <v>11</v>
      </c>
      <c r="AD56" s="70">
        <f t="shared" si="0"/>
        <v>12</v>
      </c>
      <c r="AE56" s="68">
        <f t="shared" si="0"/>
        <v>24</v>
      </c>
      <c r="AF56" s="68">
        <f t="shared" si="0"/>
        <v>1</v>
      </c>
      <c r="AG56" s="68">
        <f t="shared" si="0"/>
        <v>4</v>
      </c>
      <c r="AH56" s="68">
        <f t="shared" si="0"/>
        <v>3</v>
      </c>
      <c r="AI56" s="68">
        <f t="shared" si="0"/>
        <v>10</v>
      </c>
      <c r="AJ56" s="68">
        <f t="shared" si="0"/>
        <v>5</v>
      </c>
      <c r="AK56" s="68">
        <f t="shared" si="0"/>
        <v>7</v>
      </c>
      <c r="AL56" s="69">
        <f t="shared" si="0"/>
        <v>4</v>
      </c>
      <c r="AM56" s="70">
        <f t="shared" si="0"/>
        <v>19</v>
      </c>
      <c r="AN56" s="68">
        <f t="shared" si="0"/>
        <v>4</v>
      </c>
      <c r="AO56" s="68">
        <f t="shared" si="0"/>
        <v>30</v>
      </c>
      <c r="AP56" s="68">
        <f t="shared" si="0"/>
        <v>24</v>
      </c>
      <c r="AQ56" s="68">
        <f t="shared" si="0"/>
        <v>2</v>
      </c>
      <c r="AR56" s="68">
        <f t="shared" si="0"/>
        <v>2</v>
      </c>
      <c r="AS56" s="71">
        <f t="shared" si="0"/>
        <v>14</v>
      </c>
    </row>
    <row r="57" spans="1:51" ht="27" customHeight="1" thickBot="1" x14ac:dyDescent="0.35">
      <c r="B57" s="73"/>
      <c r="C57" s="74" t="s">
        <v>239</v>
      </c>
      <c r="D57" s="75">
        <v>1</v>
      </c>
      <c r="E57" s="76">
        <f t="shared" ref="E57:F57" si="1">E56/SUM($E$56:$J$56)</f>
        <v>0.14851485148514851</v>
      </c>
      <c r="F57" s="76">
        <f t="shared" si="1"/>
        <v>9.9009900990099015E-2</v>
      </c>
      <c r="G57" s="76">
        <f>G56/SUM($E$56:$J$56)</f>
        <v>0.30693069306930693</v>
      </c>
      <c r="H57" s="76">
        <f t="shared" ref="H57:J57" si="2">H56/SUM($E$56:$J$56)</f>
        <v>0.28712871287128711</v>
      </c>
      <c r="I57" s="76">
        <f t="shared" si="2"/>
        <v>8.9108910891089105E-2</v>
      </c>
      <c r="J57" s="85">
        <f t="shared" si="2"/>
        <v>6.9306930693069313E-2</v>
      </c>
      <c r="K57" s="87">
        <f>K56/SUM($K$56:$M$56)</f>
        <v>0.41379310344827586</v>
      </c>
      <c r="L57" s="86">
        <f t="shared" ref="L57:M57" si="3">L56/SUM($K$56:$M$56)</f>
        <v>0.55172413793103448</v>
      </c>
      <c r="M57" s="89">
        <f t="shared" si="3"/>
        <v>3.4482758620689655E-2</v>
      </c>
      <c r="N57" s="88">
        <f>N56/SUM($N$56:$T$56)</f>
        <v>6.5934065934065936E-2</v>
      </c>
      <c r="O57" s="86">
        <f t="shared" ref="O57:T57" si="4">O56/SUM($N$56:$T$56)</f>
        <v>0.16483516483516483</v>
      </c>
      <c r="P57" s="86">
        <f t="shared" si="4"/>
        <v>0.26373626373626374</v>
      </c>
      <c r="Q57" s="86">
        <f t="shared" si="4"/>
        <v>8.7912087912087919E-2</v>
      </c>
      <c r="R57" s="86">
        <f t="shared" si="4"/>
        <v>9.8901098901098897E-2</v>
      </c>
      <c r="S57" s="86">
        <f t="shared" si="4"/>
        <v>7.6923076923076927E-2</v>
      </c>
      <c r="T57" s="86">
        <f t="shared" si="4"/>
        <v>0.24175824175824176</v>
      </c>
      <c r="U57" s="87">
        <f>U56/SUM($U$56:$W$56)</f>
        <v>0.49019607843137253</v>
      </c>
      <c r="V57" s="86">
        <f>V56/SUM($U$56:$W$56)</f>
        <v>0.17647058823529413</v>
      </c>
      <c r="W57" s="89">
        <f>W56/SUM($U$56:$W$56)</f>
        <v>0.33333333333333331</v>
      </c>
      <c r="X57" s="87">
        <f>X56/SUM($X$56:$Z$56)</f>
        <v>0.54545454545454541</v>
      </c>
      <c r="Y57" s="86">
        <f t="shared" ref="Y57:Z57" si="5">Y56/SUM($X$56:$Z$56)</f>
        <v>0.31818181818181818</v>
      </c>
      <c r="Z57" s="89">
        <f t="shared" si="5"/>
        <v>0.13636363636363635</v>
      </c>
      <c r="AA57" s="87">
        <f>AA56/SUM($AA$56:$AC$56)</f>
        <v>0.26470588235294118</v>
      </c>
      <c r="AB57" s="86">
        <f t="shared" ref="AB57:AC57" si="6">AB56/SUM($AA$56:$AC$56)</f>
        <v>0.57352941176470584</v>
      </c>
      <c r="AC57" s="89">
        <f t="shared" si="6"/>
        <v>0.16176470588235295</v>
      </c>
      <c r="AD57" s="86">
        <f>AD56/SUM($AD$56:$AL$56)</f>
        <v>0.17142857142857143</v>
      </c>
      <c r="AE57" s="86">
        <f t="shared" ref="AE57:AL57" si="7">AE56/SUM($AD$56:$AL$56)</f>
        <v>0.34285714285714286</v>
      </c>
      <c r="AF57" s="86">
        <f t="shared" si="7"/>
        <v>1.4285714285714285E-2</v>
      </c>
      <c r="AG57" s="86">
        <f t="shared" si="7"/>
        <v>5.7142857142857141E-2</v>
      </c>
      <c r="AH57" s="86">
        <f t="shared" si="7"/>
        <v>4.2857142857142858E-2</v>
      </c>
      <c r="AI57" s="86">
        <f t="shared" si="7"/>
        <v>0.14285714285714285</v>
      </c>
      <c r="AJ57" s="86">
        <f t="shared" si="7"/>
        <v>7.1428571428571425E-2</v>
      </c>
      <c r="AK57" s="86">
        <f t="shared" si="7"/>
        <v>0.1</v>
      </c>
      <c r="AL57" s="90">
        <f t="shared" si="7"/>
        <v>5.7142857142857141E-2</v>
      </c>
      <c r="AM57" s="87">
        <f>AM56/SUM($AM$56:$AS$56)</f>
        <v>0.2</v>
      </c>
      <c r="AN57" s="86">
        <f t="shared" ref="AN57:AS57" si="8">AN56/SUM($AM$56:$AS$56)</f>
        <v>4.2105263157894736E-2</v>
      </c>
      <c r="AO57" s="86">
        <f t="shared" si="8"/>
        <v>0.31578947368421051</v>
      </c>
      <c r="AP57" s="86">
        <f t="shared" si="8"/>
        <v>0.25263157894736843</v>
      </c>
      <c r="AQ57" s="86">
        <f t="shared" si="8"/>
        <v>2.1052631578947368E-2</v>
      </c>
      <c r="AR57" s="86">
        <f t="shared" si="8"/>
        <v>2.1052631578947368E-2</v>
      </c>
      <c r="AS57" s="89">
        <f t="shared" si="8"/>
        <v>0.14736842105263157</v>
      </c>
      <c r="AU57" s="3"/>
      <c r="AV57" s="3"/>
      <c r="AW57" s="3"/>
      <c r="AX57" s="3"/>
      <c r="AY57" s="3"/>
    </row>
    <row r="61" spans="1:51" ht="27" customHeight="1" x14ac:dyDescent="0.3">
      <c r="K61" s="81"/>
    </row>
  </sheetData>
  <mergeCells count="16">
    <mergeCell ref="B2:D2"/>
    <mergeCell ref="E2:T2"/>
    <mergeCell ref="U2:AC2"/>
    <mergeCell ref="AD2:AS2"/>
    <mergeCell ref="B3:D3"/>
    <mergeCell ref="E3:J3"/>
    <mergeCell ref="K3:M3"/>
    <mergeCell ref="N3:T3"/>
    <mergeCell ref="U3:W3"/>
    <mergeCell ref="X3:Z3"/>
    <mergeCell ref="A16:A31"/>
    <mergeCell ref="AA3:AC3"/>
    <mergeCell ref="AD3:AL3"/>
    <mergeCell ref="AM3:AS3"/>
    <mergeCell ref="A5:A7"/>
    <mergeCell ref="A8:A15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C60D-C6B8-4A51-982D-327C15A7EA03}">
  <dimension ref="B2:V57"/>
  <sheetViews>
    <sheetView zoomScale="85" zoomScaleNormal="85" workbookViewId="0">
      <pane xSplit="4" ySplit="4" topLeftCell="E56" activePane="bottomRight" state="frozen"/>
      <selection pane="topRight" activeCell="E1" sqref="E1"/>
      <selection pane="bottomLeft" activeCell="A5" sqref="A5"/>
      <selection pane="bottomRight" activeCell="E57" sqref="E57"/>
    </sheetView>
  </sheetViews>
  <sheetFormatPr defaultColWidth="13.21875" defaultRowHeight="15.6" x14ac:dyDescent="0.3"/>
  <cols>
    <col min="1" max="1" width="13.21875" style="91"/>
    <col min="2" max="2" width="6.5546875" style="91" customWidth="1"/>
    <col min="3" max="3" width="34.6640625" style="91" customWidth="1"/>
    <col min="4" max="4" width="20.77734375" style="91" customWidth="1"/>
    <col min="5" max="14" width="8.77734375" style="91" customWidth="1"/>
    <col min="15" max="16384" width="13.21875" style="91"/>
  </cols>
  <sheetData>
    <row r="2" spans="2:22" ht="16.2" thickBot="1" x14ac:dyDescent="0.35"/>
    <row r="3" spans="2:22" ht="16.95" customHeight="1" x14ac:dyDescent="0.3">
      <c r="B3" s="92"/>
      <c r="C3" s="93"/>
      <c r="D3" s="93"/>
      <c r="E3" s="197" t="s">
        <v>252</v>
      </c>
      <c r="F3" s="198"/>
      <c r="G3" s="198"/>
      <c r="H3" s="197" t="s">
        <v>240</v>
      </c>
      <c r="I3" s="198"/>
      <c r="J3" s="198"/>
      <c r="K3" s="198"/>
      <c r="L3" s="198"/>
      <c r="M3" s="198"/>
      <c r="N3" s="199"/>
    </row>
    <row r="4" spans="2:22" ht="165" x14ac:dyDescent="0.3">
      <c r="B4" s="94" t="s">
        <v>0</v>
      </c>
      <c r="C4" s="95" t="s">
        <v>241</v>
      </c>
      <c r="D4" s="96" t="s">
        <v>3</v>
      </c>
      <c r="E4" s="115" t="s">
        <v>251</v>
      </c>
      <c r="F4" s="116" t="s">
        <v>242</v>
      </c>
      <c r="G4" s="116" t="s">
        <v>250</v>
      </c>
      <c r="H4" s="97" t="s">
        <v>243</v>
      </c>
      <c r="I4" s="98" t="s">
        <v>244</v>
      </c>
      <c r="J4" s="98" t="s">
        <v>245</v>
      </c>
      <c r="K4" s="98" t="s">
        <v>246</v>
      </c>
      <c r="L4" s="98" t="s">
        <v>247</v>
      </c>
      <c r="M4" s="98" t="s">
        <v>248</v>
      </c>
      <c r="N4" s="99" t="s">
        <v>249</v>
      </c>
      <c r="O4" s="101"/>
      <c r="P4" s="101"/>
      <c r="Q4" s="101"/>
      <c r="R4" s="101"/>
      <c r="S4" s="101"/>
      <c r="T4" s="101"/>
      <c r="U4" s="101"/>
      <c r="V4" s="101"/>
    </row>
    <row r="5" spans="2:22" s="102" customFormat="1" ht="46.8" x14ac:dyDescent="0.3">
      <c r="B5" s="118">
        <v>1</v>
      </c>
      <c r="C5" s="23" t="s">
        <v>9</v>
      </c>
      <c r="D5" s="23" t="s">
        <v>10</v>
      </c>
      <c r="E5" s="119" t="s">
        <v>233</v>
      </c>
      <c r="F5" s="120"/>
      <c r="G5" s="120"/>
      <c r="H5" s="119" t="s">
        <v>233</v>
      </c>
      <c r="I5" s="120"/>
      <c r="J5" s="120"/>
      <c r="K5" s="120"/>
      <c r="L5" s="120"/>
      <c r="M5" s="120"/>
      <c r="N5" s="121"/>
    </row>
    <row r="6" spans="2:22" s="102" customFormat="1" ht="46.8" x14ac:dyDescent="0.3">
      <c r="B6" s="108">
        <v>2</v>
      </c>
      <c r="C6" s="36" t="s">
        <v>17</v>
      </c>
      <c r="D6" s="36" t="s">
        <v>18</v>
      </c>
      <c r="E6" s="103" t="s">
        <v>233</v>
      </c>
      <c r="F6" s="104"/>
      <c r="G6" s="104"/>
      <c r="H6" s="103"/>
      <c r="I6" s="104" t="s">
        <v>233</v>
      </c>
      <c r="J6" s="104"/>
      <c r="K6" s="104"/>
      <c r="L6" s="104" t="s">
        <v>233</v>
      </c>
      <c r="M6" s="104"/>
      <c r="N6" s="105"/>
    </row>
    <row r="7" spans="2:22" s="102" customFormat="1" ht="31.2" x14ac:dyDescent="0.3">
      <c r="B7" s="108">
        <v>3</v>
      </c>
      <c r="C7" s="36" t="s">
        <v>20</v>
      </c>
      <c r="D7" s="36" t="s">
        <v>21</v>
      </c>
      <c r="E7" s="103"/>
      <c r="F7" s="104"/>
      <c r="G7" s="104" t="s">
        <v>233</v>
      </c>
      <c r="H7" s="103"/>
      <c r="I7" s="104"/>
      <c r="J7" s="104"/>
      <c r="K7" s="104"/>
      <c r="L7" s="104"/>
      <c r="M7" s="104"/>
      <c r="N7" s="105"/>
    </row>
    <row r="8" spans="2:22" s="102" customFormat="1" ht="46.8" x14ac:dyDescent="0.3">
      <c r="B8" s="108">
        <v>4</v>
      </c>
      <c r="C8" s="36" t="s">
        <v>25</v>
      </c>
      <c r="D8" s="36" t="s">
        <v>26</v>
      </c>
      <c r="E8" s="103" t="s">
        <v>233</v>
      </c>
      <c r="F8" s="104"/>
      <c r="G8" s="104"/>
      <c r="H8" s="103"/>
      <c r="I8" s="104"/>
      <c r="J8" s="104"/>
      <c r="K8" s="104"/>
      <c r="L8" s="104"/>
      <c r="M8" s="104" t="s">
        <v>233</v>
      </c>
      <c r="N8" s="105"/>
    </row>
    <row r="9" spans="2:22" s="102" customFormat="1" ht="46.8" x14ac:dyDescent="0.3">
      <c r="B9" s="108">
        <v>5</v>
      </c>
      <c r="C9" s="36" t="s">
        <v>30</v>
      </c>
      <c r="D9" s="36" t="s">
        <v>31</v>
      </c>
      <c r="E9" s="103"/>
      <c r="F9" s="104" t="s">
        <v>233</v>
      </c>
      <c r="G9" s="104" t="s">
        <v>233</v>
      </c>
      <c r="H9" s="103"/>
      <c r="I9" s="104"/>
      <c r="J9" s="104"/>
      <c r="K9" s="104"/>
      <c r="L9" s="104"/>
      <c r="M9" s="104"/>
      <c r="N9" s="105"/>
    </row>
    <row r="10" spans="2:22" s="102" customFormat="1" ht="46.8" x14ac:dyDescent="0.3">
      <c r="B10" s="108">
        <v>6</v>
      </c>
      <c r="C10" s="36" t="s">
        <v>34</v>
      </c>
      <c r="D10" s="36" t="s">
        <v>35</v>
      </c>
      <c r="E10" s="103"/>
      <c r="F10" s="104" t="s">
        <v>233</v>
      </c>
      <c r="G10" s="104" t="s">
        <v>233</v>
      </c>
      <c r="H10" s="103"/>
      <c r="I10" s="104"/>
      <c r="J10" s="104"/>
      <c r="K10" s="104"/>
      <c r="L10" s="104"/>
      <c r="M10" s="104"/>
      <c r="N10" s="105"/>
    </row>
    <row r="11" spans="2:22" s="102" customFormat="1" ht="31.2" x14ac:dyDescent="0.3">
      <c r="B11" s="108">
        <v>7</v>
      </c>
      <c r="C11" s="36" t="s">
        <v>39</v>
      </c>
      <c r="D11" s="36" t="s">
        <v>40</v>
      </c>
      <c r="E11" s="103" t="s">
        <v>233</v>
      </c>
      <c r="F11" s="104"/>
      <c r="G11" s="104"/>
      <c r="H11" s="103"/>
      <c r="I11" s="104"/>
      <c r="J11" s="104"/>
      <c r="K11" s="104" t="s">
        <v>233</v>
      </c>
      <c r="L11" s="104"/>
      <c r="M11" s="122"/>
      <c r="N11" s="105"/>
    </row>
    <row r="12" spans="2:22" s="102" customFormat="1" ht="62.4" x14ac:dyDescent="0.3">
      <c r="B12" s="108">
        <v>8</v>
      </c>
      <c r="C12" s="36" t="s">
        <v>42</v>
      </c>
      <c r="D12" s="36" t="s">
        <v>43</v>
      </c>
      <c r="E12" s="103"/>
      <c r="F12" s="104"/>
      <c r="G12" s="104" t="s">
        <v>233</v>
      </c>
      <c r="H12" s="103"/>
      <c r="I12" s="104"/>
      <c r="J12" s="104"/>
      <c r="K12" s="104" t="s">
        <v>233</v>
      </c>
      <c r="L12" s="104"/>
      <c r="M12" s="104"/>
      <c r="N12" s="105" t="s">
        <v>233</v>
      </c>
    </row>
    <row r="13" spans="2:22" s="102" customFormat="1" ht="62.4" x14ac:dyDescent="0.3">
      <c r="B13" s="108">
        <v>9</v>
      </c>
      <c r="C13" s="36" t="s">
        <v>45</v>
      </c>
      <c r="D13" s="36" t="s">
        <v>46</v>
      </c>
      <c r="E13" s="103" t="s">
        <v>233</v>
      </c>
      <c r="F13" s="104"/>
      <c r="G13" s="104"/>
      <c r="H13" s="103"/>
      <c r="I13" s="104"/>
      <c r="J13" s="104"/>
      <c r="K13" s="104"/>
      <c r="L13" s="104"/>
      <c r="M13" s="104" t="s">
        <v>233</v>
      </c>
      <c r="N13" s="105" t="s">
        <v>233</v>
      </c>
    </row>
    <row r="14" spans="2:22" s="102" customFormat="1" ht="46.8" x14ac:dyDescent="0.3">
      <c r="B14" s="108">
        <v>10</v>
      </c>
      <c r="C14" s="36" t="s">
        <v>48</v>
      </c>
      <c r="D14" s="36" t="s">
        <v>49</v>
      </c>
      <c r="E14" s="103"/>
      <c r="F14" s="104"/>
      <c r="G14" s="104" t="s">
        <v>233</v>
      </c>
      <c r="H14" s="103"/>
      <c r="I14" s="104"/>
      <c r="J14" s="104"/>
      <c r="K14" s="104" t="s">
        <v>233</v>
      </c>
      <c r="L14" s="104"/>
      <c r="M14" s="104"/>
      <c r="N14" s="105"/>
    </row>
    <row r="15" spans="2:22" s="102" customFormat="1" ht="46.8" x14ac:dyDescent="0.3">
      <c r="B15" s="118">
        <v>11</v>
      </c>
      <c r="C15" s="36" t="s">
        <v>51</v>
      </c>
      <c r="D15" s="36" t="s">
        <v>52</v>
      </c>
      <c r="E15" s="103"/>
      <c r="F15" s="104"/>
      <c r="G15" s="104" t="s">
        <v>233</v>
      </c>
      <c r="H15" s="103"/>
      <c r="I15" s="104"/>
      <c r="J15" s="104"/>
      <c r="K15" s="104" t="s">
        <v>233</v>
      </c>
      <c r="L15" s="104"/>
      <c r="M15" s="104"/>
      <c r="N15" s="105"/>
    </row>
    <row r="16" spans="2:22" s="102" customFormat="1" ht="46.8" x14ac:dyDescent="0.3">
      <c r="B16" s="108">
        <v>12</v>
      </c>
      <c r="C16" s="36" t="s">
        <v>56</v>
      </c>
      <c r="D16" s="36" t="s">
        <v>57</v>
      </c>
      <c r="E16" s="103"/>
      <c r="F16" s="104"/>
      <c r="G16" s="104"/>
      <c r="H16" s="103"/>
      <c r="I16" s="104"/>
      <c r="J16" s="104"/>
      <c r="K16" s="104"/>
      <c r="L16" s="104"/>
      <c r="M16" s="104"/>
      <c r="N16" s="105"/>
    </row>
    <row r="17" spans="2:14" s="102" customFormat="1" ht="31.2" x14ac:dyDescent="0.3">
      <c r="B17" s="108">
        <v>13</v>
      </c>
      <c r="C17" s="36" t="s">
        <v>60</v>
      </c>
      <c r="D17" s="36" t="s">
        <v>61</v>
      </c>
      <c r="E17" s="103"/>
      <c r="F17" s="104"/>
      <c r="G17" s="104"/>
      <c r="H17" s="103"/>
      <c r="I17" s="104"/>
      <c r="J17" s="104"/>
      <c r="K17" s="104"/>
      <c r="L17" s="104"/>
      <c r="M17" s="104"/>
      <c r="N17" s="105"/>
    </row>
    <row r="18" spans="2:14" s="102" customFormat="1" ht="31.2" x14ac:dyDescent="0.3">
      <c r="B18" s="108">
        <v>14</v>
      </c>
      <c r="C18" s="36" t="s">
        <v>63</v>
      </c>
      <c r="D18" s="36" t="s">
        <v>64</v>
      </c>
      <c r="E18" s="103"/>
      <c r="F18" s="104" t="s">
        <v>233</v>
      </c>
      <c r="G18" s="104" t="s">
        <v>233</v>
      </c>
      <c r="H18" s="103"/>
      <c r="I18" s="104"/>
      <c r="J18" s="104"/>
      <c r="K18" s="104"/>
      <c r="L18" s="104"/>
      <c r="M18" s="104"/>
      <c r="N18" s="105"/>
    </row>
    <row r="19" spans="2:14" s="102" customFormat="1" ht="31.2" x14ac:dyDescent="0.3">
      <c r="B19" s="108">
        <v>15</v>
      </c>
      <c r="C19" s="36" t="s">
        <v>67</v>
      </c>
      <c r="D19" s="36" t="s">
        <v>68</v>
      </c>
      <c r="E19" s="103" t="s">
        <v>233</v>
      </c>
      <c r="F19" s="104"/>
      <c r="G19" s="104"/>
      <c r="H19" s="103"/>
      <c r="I19" s="104" t="s">
        <v>233</v>
      </c>
      <c r="J19" s="104"/>
      <c r="K19" s="104"/>
      <c r="L19" s="104"/>
      <c r="M19" s="104"/>
      <c r="N19" s="105"/>
    </row>
    <row r="20" spans="2:14" s="102" customFormat="1" ht="31.2" x14ac:dyDescent="0.3">
      <c r="B20" s="108">
        <v>16</v>
      </c>
      <c r="C20" s="36" t="s">
        <v>70</v>
      </c>
      <c r="D20" s="36" t="s">
        <v>71</v>
      </c>
      <c r="E20" s="103"/>
      <c r="F20" s="104" t="s">
        <v>233</v>
      </c>
      <c r="G20" s="104" t="s">
        <v>233</v>
      </c>
      <c r="H20" s="103"/>
      <c r="I20" s="104" t="s">
        <v>233</v>
      </c>
      <c r="J20" s="104"/>
      <c r="K20" s="104"/>
      <c r="L20" s="104"/>
      <c r="M20" s="104"/>
      <c r="N20" s="105" t="s">
        <v>233</v>
      </c>
    </row>
    <row r="21" spans="2:14" s="102" customFormat="1" ht="31.2" x14ac:dyDescent="0.3">
      <c r="B21" s="108">
        <v>17</v>
      </c>
      <c r="C21" s="36" t="s">
        <v>74</v>
      </c>
      <c r="D21" s="36" t="s">
        <v>75</v>
      </c>
      <c r="E21" s="103" t="s">
        <v>233</v>
      </c>
      <c r="F21" s="104"/>
      <c r="G21" s="104"/>
      <c r="H21" s="103"/>
      <c r="I21" s="104"/>
      <c r="J21" s="104"/>
      <c r="K21" s="104"/>
      <c r="L21" s="104"/>
      <c r="M21" s="104" t="s">
        <v>233</v>
      </c>
      <c r="N21" s="105"/>
    </row>
    <row r="22" spans="2:14" s="102" customFormat="1" ht="62.4" x14ac:dyDescent="0.3">
      <c r="B22" s="108">
        <v>18</v>
      </c>
      <c r="C22" s="36" t="s">
        <v>77</v>
      </c>
      <c r="D22" s="36" t="s">
        <v>78</v>
      </c>
      <c r="E22" s="103"/>
      <c r="F22" s="104" t="s">
        <v>233</v>
      </c>
      <c r="G22" s="104"/>
      <c r="H22" s="103"/>
      <c r="I22" s="104"/>
      <c r="J22" s="104"/>
      <c r="K22" s="104"/>
      <c r="L22" s="104"/>
      <c r="M22" s="104"/>
      <c r="N22" s="105"/>
    </row>
    <row r="23" spans="2:14" s="102" customFormat="1" ht="46.8" x14ac:dyDescent="0.3">
      <c r="B23" s="108">
        <v>19</v>
      </c>
      <c r="C23" s="36" t="s">
        <v>80</v>
      </c>
      <c r="D23" s="36" t="s">
        <v>81</v>
      </c>
      <c r="E23" s="103"/>
      <c r="F23" s="104" t="s">
        <v>233</v>
      </c>
      <c r="G23" s="104" t="s">
        <v>233</v>
      </c>
      <c r="H23" s="103" t="s">
        <v>233</v>
      </c>
      <c r="I23" s="104" t="s">
        <v>233</v>
      </c>
      <c r="J23" s="104"/>
      <c r="K23" s="104"/>
      <c r="L23" s="104"/>
      <c r="M23" s="104"/>
      <c r="N23" s="105" t="s">
        <v>233</v>
      </c>
    </row>
    <row r="24" spans="2:14" s="102" customFormat="1" ht="46.8" x14ac:dyDescent="0.3">
      <c r="B24" s="108">
        <v>20</v>
      </c>
      <c r="C24" s="36" t="s">
        <v>83</v>
      </c>
      <c r="D24" s="36" t="s">
        <v>84</v>
      </c>
      <c r="E24" s="103"/>
      <c r="F24" s="104" t="s">
        <v>233</v>
      </c>
      <c r="G24" s="104" t="s">
        <v>233</v>
      </c>
      <c r="H24" s="103"/>
      <c r="I24" s="104"/>
      <c r="J24" s="104"/>
      <c r="K24" s="104"/>
      <c r="L24" s="104"/>
      <c r="M24" s="104"/>
      <c r="N24" s="105"/>
    </row>
    <row r="25" spans="2:14" s="102" customFormat="1" ht="46.8" x14ac:dyDescent="0.3">
      <c r="B25" s="118">
        <v>21</v>
      </c>
      <c r="C25" s="36" t="s">
        <v>86</v>
      </c>
      <c r="D25" s="36" t="s">
        <v>87</v>
      </c>
      <c r="E25" s="103"/>
      <c r="F25" s="104"/>
      <c r="G25" s="104" t="s">
        <v>233</v>
      </c>
      <c r="H25" s="103"/>
      <c r="I25" s="104"/>
      <c r="J25" s="104"/>
      <c r="K25" s="104"/>
      <c r="L25" s="104"/>
      <c r="M25" s="104"/>
      <c r="N25" s="105"/>
    </row>
    <row r="26" spans="2:14" s="102" customFormat="1" ht="46.8" x14ac:dyDescent="0.3">
      <c r="B26" s="108">
        <v>22</v>
      </c>
      <c r="C26" s="36" t="s">
        <v>89</v>
      </c>
      <c r="D26" s="36" t="s">
        <v>90</v>
      </c>
      <c r="E26" s="103" t="s">
        <v>233</v>
      </c>
      <c r="F26" s="104"/>
      <c r="G26" s="104" t="s">
        <v>233</v>
      </c>
      <c r="H26" s="103"/>
      <c r="I26" s="104" t="s">
        <v>233</v>
      </c>
      <c r="J26" s="104"/>
      <c r="K26" s="123"/>
      <c r="L26" s="104"/>
      <c r="M26" s="104"/>
      <c r="N26" s="105" t="s">
        <v>233</v>
      </c>
    </row>
    <row r="27" spans="2:14" s="102" customFormat="1" ht="62.4" x14ac:dyDescent="0.3">
      <c r="B27" s="108">
        <v>24</v>
      </c>
      <c r="C27" s="36" t="s">
        <v>92</v>
      </c>
      <c r="D27" s="36" t="s">
        <v>93</v>
      </c>
      <c r="E27" s="103" t="s">
        <v>233</v>
      </c>
      <c r="F27" s="104"/>
      <c r="G27" s="104" t="s">
        <v>233</v>
      </c>
      <c r="H27" s="103"/>
      <c r="I27" s="104"/>
      <c r="J27" s="104"/>
      <c r="K27" s="104"/>
      <c r="L27" s="104"/>
      <c r="M27" s="104"/>
      <c r="N27" s="105"/>
    </row>
    <row r="28" spans="2:14" s="102" customFormat="1" ht="46.8" x14ac:dyDescent="0.3">
      <c r="B28" s="108">
        <v>25</v>
      </c>
      <c r="C28" s="36" t="s">
        <v>95</v>
      </c>
      <c r="D28" s="36" t="s">
        <v>93</v>
      </c>
      <c r="E28" s="103" t="s">
        <v>233</v>
      </c>
      <c r="F28" s="104"/>
      <c r="G28" s="104" t="s">
        <v>233</v>
      </c>
      <c r="H28" s="103" t="s">
        <v>233</v>
      </c>
      <c r="I28" s="104"/>
      <c r="J28" s="104"/>
      <c r="K28" s="104" t="s">
        <v>233</v>
      </c>
      <c r="L28" s="104"/>
      <c r="M28" s="104"/>
      <c r="N28" s="105"/>
    </row>
    <row r="29" spans="2:14" s="102" customFormat="1" ht="62.4" x14ac:dyDescent="0.3">
      <c r="B29" s="108">
        <v>26</v>
      </c>
      <c r="C29" s="36" t="s">
        <v>97</v>
      </c>
      <c r="D29" s="36" t="s">
        <v>90</v>
      </c>
      <c r="E29" s="103" t="s">
        <v>233</v>
      </c>
      <c r="F29" s="104"/>
      <c r="G29" s="104" t="s">
        <v>233</v>
      </c>
      <c r="H29" s="103"/>
      <c r="I29" s="104" t="s">
        <v>233</v>
      </c>
      <c r="J29" s="104"/>
      <c r="K29" s="104"/>
      <c r="L29" s="104"/>
      <c r="M29" s="104"/>
      <c r="N29" s="105"/>
    </row>
    <row r="30" spans="2:14" s="102" customFormat="1" ht="31.2" x14ac:dyDescent="0.3">
      <c r="B30" s="108">
        <v>28</v>
      </c>
      <c r="C30" s="36" t="s">
        <v>99</v>
      </c>
      <c r="D30" s="36" t="s">
        <v>71</v>
      </c>
      <c r="E30" s="103"/>
      <c r="F30" s="104" t="s">
        <v>233</v>
      </c>
      <c r="G30" s="104" t="s">
        <v>233</v>
      </c>
      <c r="H30" s="103"/>
      <c r="I30" s="104"/>
      <c r="J30" s="104"/>
      <c r="K30" s="104"/>
      <c r="L30" s="104"/>
      <c r="M30" s="104"/>
      <c r="N30" s="105"/>
    </row>
    <row r="31" spans="2:14" s="102" customFormat="1" ht="46.8" x14ac:dyDescent="0.3">
      <c r="B31" s="108">
        <v>29</v>
      </c>
      <c r="C31" s="36" t="s">
        <v>101</v>
      </c>
      <c r="D31" s="36" t="s">
        <v>102</v>
      </c>
      <c r="E31" s="103"/>
      <c r="F31" s="104" t="s">
        <v>233</v>
      </c>
      <c r="G31" s="104" t="s">
        <v>233</v>
      </c>
      <c r="H31" s="103"/>
      <c r="I31" s="104"/>
      <c r="J31" s="104"/>
      <c r="K31" s="104"/>
      <c r="L31" s="104"/>
      <c r="M31" s="104"/>
      <c r="N31" s="105"/>
    </row>
    <row r="32" spans="2:14" s="102" customFormat="1" ht="46.8" x14ac:dyDescent="0.3">
      <c r="B32" s="34">
        <v>30</v>
      </c>
      <c r="C32" s="35" t="s">
        <v>105</v>
      </c>
      <c r="D32" s="36" t="s">
        <v>106</v>
      </c>
      <c r="E32" s="103" t="s">
        <v>233</v>
      </c>
      <c r="F32" s="104"/>
      <c r="G32" s="104"/>
      <c r="H32" s="103"/>
      <c r="I32" s="104"/>
      <c r="J32" s="104"/>
      <c r="K32" s="104"/>
      <c r="L32" s="104"/>
      <c r="M32" s="104"/>
      <c r="N32" s="105"/>
    </row>
    <row r="33" spans="2:14" s="107" customFormat="1" ht="62.4" x14ac:dyDescent="0.3">
      <c r="B33" s="34">
        <v>31</v>
      </c>
      <c r="C33" s="35" t="s">
        <v>108</v>
      </c>
      <c r="D33" s="36" t="s">
        <v>109</v>
      </c>
      <c r="E33" s="103"/>
      <c r="F33" s="104"/>
      <c r="G33" s="104" t="s">
        <v>233</v>
      </c>
      <c r="H33" s="103"/>
      <c r="I33" s="104"/>
      <c r="J33" s="104"/>
      <c r="K33" s="104"/>
      <c r="L33" s="104"/>
      <c r="M33" s="104"/>
      <c r="N33" s="105"/>
    </row>
    <row r="34" spans="2:14" s="107" customFormat="1" ht="46.8" x14ac:dyDescent="0.3">
      <c r="B34" s="108">
        <v>32</v>
      </c>
      <c r="C34" s="36" t="s">
        <v>111</v>
      </c>
      <c r="D34" s="36" t="s">
        <v>112</v>
      </c>
      <c r="E34" s="103" t="s">
        <v>233</v>
      </c>
      <c r="F34" s="104"/>
      <c r="G34" s="104"/>
      <c r="H34" s="103"/>
      <c r="I34" s="104" t="s">
        <v>233</v>
      </c>
      <c r="J34" s="104"/>
      <c r="K34" s="104"/>
      <c r="L34" s="104"/>
      <c r="M34" s="104"/>
      <c r="N34" s="105"/>
    </row>
    <row r="35" spans="2:14" s="107" customFormat="1" ht="46.8" x14ac:dyDescent="0.3">
      <c r="B35" s="108">
        <v>33</v>
      </c>
      <c r="C35" s="36" t="s">
        <v>114</v>
      </c>
      <c r="D35" s="36" t="s">
        <v>115</v>
      </c>
      <c r="E35" s="103" t="s">
        <v>233</v>
      </c>
      <c r="F35" s="104"/>
      <c r="G35" s="104" t="s">
        <v>233</v>
      </c>
      <c r="H35" s="103"/>
      <c r="I35" s="104"/>
      <c r="J35" s="104"/>
      <c r="K35" s="104"/>
      <c r="L35" s="104"/>
      <c r="M35" s="104"/>
      <c r="N35" s="105"/>
    </row>
    <row r="36" spans="2:14" s="107" customFormat="1" ht="31.2" x14ac:dyDescent="0.3">
      <c r="B36" s="108">
        <v>34</v>
      </c>
      <c r="C36" s="36" t="s">
        <v>117</v>
      </c>
      <c r="D36" s="36" t="s">
        <v>118</v>
      </c>
      <c r="E36" s="103" t="s">
        <v>233</v>
      </c>
      <c r="F36" s="104" t="s">
        <v>233</v>
      </c>
      <c r="G36" s="104" t="s">
        <v>233</v>
      </c>
      <c r="H36" s="103"/>
      <c r="I36" s="104"/>
      <c r="J36" s="104"/>
      <c r="K36" s="104"/>
      <c r="L36" s="104"/>
      <c r="M36" s="104"/>
      <c r="N36" s="105"/>
    </row>
    <row r="37" spans="2:14" s="107" customFormat="1" ht="46.8" x14ac:dyDescent="0.3">
      <c r="B37" s="108">
        <v>35</v>
      </c>
      <c r="C37" s="36" t="s">
        <v>120</v>
      </c>
      <c r="D37" s="36" t="s">
        <v>121</v>
      </c>
      <c r="E37" s="103" t="s">
        <v>233</v>
      </c>
      <c r="F37" s="104"/>
      <c r="G37" s="104"/>
      <c r="H37" s="103"/>
      <c r="I37" s="104"/>
      <c r="J37" s="104"/>
      <c r="K37" s="104" t="s">
        <v>233</v>
      </c>
      <c r="L37" s="104"/>
      <c r="M37" s="104"/>
      <c r="N37" s="105"/>
    </row>
    <row r="38" spans="2:14" s="107" customFormat="1" ht="62.4" x14ac:dyDescent="0.3">
      <c r="B38" s="108">
        <v>36</v>
      </c>
      <c r="C38" s="36" t="s">
        <v>123</v>
      </c>
      <c r="D38" s="36" t="s">
        <v>124</v>
      </c>
      <c r="E38" s="103" t="s">
        <v>233</v>
      </c>
      <c r="F38" s="104"/>
      <c r="G38" s="104"/>
      <c r="H38" s="103"/>
      <c r="I38" s="104"/>
      <c r="J38" s="104" t="s">
        <v>233</v>
      </c>
      <c r="K38" s="104"/>
      <c r="L38" s="104"/>
      <c r="M38" s="104"/>
      <c r="N38" s="105"/>
    </row>
    <row r="39" spans="2:14" s="107" customFormat="1" ht="31.2" x14ac:dyDescent="0.3">
      <c r="B39" s="108">
        <v>37</v>
      </c>
      <c r="C39" s="36" t="s">
        <v>126</v>
      </c>
      <c r="D39" s="36" t="s">
        <v>127</v>
      </c>
      <c r="E39" s="103"/>
      <c r="F39" s="104" t="s">
        <v>233</v>
      </c>
      <c r="G39" s="104"/>
      <c r="H39" s="103"/>
      <c r="I39" s="104"/>
      <c r="J39" s="104"/>
      <c r="K39" s="104"/>
      <c r="L39" s="104"/>
      <c r="M39" s="104"/>
      <c r="N39" s="105"/>
    </row>
    <row r="40" spans="2:14" s="107" customFormat="1" ht="31.2" x14ac:dyDescent="0.3">
      <c r="B40" s="108">
        <v>38</v>
      </c>
      <c r="C40" s="36" t="s">
        <v>129</v>
      </c>
      <c r="D40" s="36" t="s">
        <v>130</v>
      </c>
      <c r="E40" s="103"/>
      <c r="F40" s="104" t="s">
        <v>233</v>
      </c>
      <c r="G40" s="104"/>
      <c r="H40" s="103"/>
      <c r="I40" s="104"/>
      <c r="J40" s="104"/>
      <c r="K40" s="104"/>
      <c r="L40" s="104"/>
      <c r="M40" s="104"/>
      <c r="N40" s="105"/>
    </row>
    <row r="41" spans="2:14" s="107" customFormat="1" x14ac:dyDescent="0.3">
      <c r="B41" s="34">
        <v>39</v>
      </c>
      <c r="C41" s="2" t="s">
        <v>132</v>
      </c>
      <c r="D41" s="2" t="s">
        <v>26</v>
      </c>
      <c r="E41" s="103" t="s">
        <v>233</v>
      </c>
      <c r="F41" s="104"/>
      <c r="G41" s="104"/>
      <c r="H41" s="103"/>
      <c r="I41" s="104"/>
      <c r="J41" s="104"/>
      <c r="K41" s="104"/>
      <c r="L41" s="104"/>
      <c r="M41" s="104" t="s">
        <v>233</v>
      </c>
      <c r="N41" s="105"/>
    </row>
    <row r="42" spans="2:14" s="107" customFormat="1" ht="62.4" x14ac:dyDescent="0.3">
      <c r="B42" s="34">
        <v>40</v>
      </c>
      <c r="C42" s="35" t="s">
        <v>134</v>
      </c>
      <c r="D42" s="36" t="s">
        <v>135</v>
      </c>
      <c r="E42" s="103" t="s">
        <v>233</v>
      </c>
      <c r="F42" s="104"/>
      <c r="G42" s="104"/>
      <c r="H42" s="103"/>
      <c r="I42" s="104" t="s">
        <v>233</v>
      </c>
      <c r="J42" s="104"/>
      <c r="K42" s="104"/>
      <c r="L42" s="104"/>
      <c r="M42" s="104"/>
      <c r="N42" s="105"/>
    </row>
    <row r="43" spans="2:14" s="107" customFormat="1" ht="31.2" x14ac:dyDescent="0.3">
      <c r="B43" s="108">
        <v>42</v>
      </c>
      <c r="C43" s="36" t="s">
        <v>137</v>
      </c>
      <c r="D43" s="36" t="s">
        <v>138</v>
      </c>
      <c r="E43" s="103" t="s">
        <v>233</v>
      </c>
      <c r="F43" s="104"/>
      <c r="G43" s="104"/>
      <c r="H43" s="103"/>
      <c r="I43" s="104"/>
      <c r="J43" s="104"/>
      <c r="K43" s="104"/>
      <c r="L43" s="104"/>
      <c r="M43" s="104"/>
      <c r="N43" s="105"/>
    </row>
    <row r="44" spans="2:14" s="107" customFormat="1" ht="31.2" x14ac:dyDescent="0.3">
      <c r="B44" s="108">
        <v>43</v>
      </c>
      <c r="C44" s="36" t="s">
        <v>140</v>
      </c>
      <c r="D44" s="36" t="s">
        <v>141</v>
      </c>
      <c r="E44" s="103" t="s">
        <v>233</v>
      </c>
      <c r="F44" s="104"/>
      <c r="G44" s="104"/>
      <c r="H44" s="103"/>
      <c r="I44" s="104"/>
      <c r="J44" s="104"/>
      <c r="K44" s="104"/>
      <c r="L44" s="104" t="s">
        <v>233</v>
      </c>
      <c r="M44" s="104"/>
      <c r="N44" s="105"/>
    </row>
    <row r="45" spans="2:14" s="107" customFormat="1" ht="46.8" x14ac:dyDescent="0.3">
      <c r="B45" s="108">
        <v>44</v>
      </c>
      <c r="C45" s="36" t="s">
        <v>143</v>
      </c>
      <c r="D45" s="36" t="s">
        <v>144</v>
      </c>
      <c r="E45" s="103"/>
      <c r="F45" s="104"/>
      <c r="G45" s="104" t="s">
        <v>233</v>
      </c>
      <c r="H45" s="103"/>
      <c r="I45" s="104"/>
      <c r="J45" s="104"/>
      <c r="K45" s="104"/>
      <c r="L45" s="104"/>
      <c r="M45" s="104"/>
      <c r="N45" s="105"/>
    </row>
    <row r="46" spans="2:14" s="107" customFormat="1" ht="62.4" x14ac:dyDescent="0.3">
      <c r="B46" s="108">
        <v>45</v>
      </c>
      <c r="C46" s="36" t="s">
        <v>146</v>
      </c>
      <c r="D46" s="36" t="s">
        <v>147</v>
      </c>
      <c r="E46" s="103"/>
      <c r="F46" s="104"/>
      <c r="G46" s="104" t="s">
        <v>233</v>
      </c>
      <c r="H46" s="103"/>
      <c r="I46" s="104"/>
      <c r="J46" s="104"/>
      <c r="K46" s="104"/>
      <c r="L46" s="104"/>
      <c r="M46" s="104"/>
      <c r="N46" s="105"/>
    </row>
    <row r="47" spans="2:14" s="107" customFormat="1" ht="46.8" x14ac:dyDescent="0.3">
      <c r="B47" s="108">
        <v>46</v>
      </c>
      <c r="C47" s="36" t="s">
        <v>149</v>
      </c>
      <c r="D47" s="36" t="s">
        <v>150</v>
      </c>
      <c r="E47" s="103"/>
      <c r="F47" s="104" t="s">
        <v>233</v>
      </c>
      <c r="G47" s="104"/>
      <c r="H47" s="103"/>
      <c r="I47" s="104"/>
      <c r="J47" s="104"/>
      <c r="K47" s="104"/>
      <c r="L47" s="104"/>
      <c r="M47" s="104" t="s">
        <v>233</v>
      </c>
      <c r="N47" s="105"/>
    </row>
    <row r="48" spans="2:14" s="107" customFormat="1" ht="62.4" x14ac:dyDescent="0.3">
      <c r="B48" s="108">
        <v>47</v>
      </c>
      <c r="C48" s="36" t="s">
        <v>152</v>
      </c>
      <c r="D48" s="36" t="s">
        <v>153</v>
      </c>
      <c r="E48" s="103" t="s">
        <v>233</v>
      </c>
      <c r="F48" s="104"/>
      <c r="G48" s="104"/>
      <c r="H48" s="103"/>
      <c r="I48" s="104"/>
      <c r="J48" s="104"/>
      <c r="K48" s="104"/>
      <c r="L48" s="104"/>
      <c r="M48" s="104"/>
      <c r="N48" s="105" t="s">
        <v>233</v>
      </c>
    </row>
    <row r="49" spans="2:14" s="107" customFormat="1" ht="62.4" x14ac:dyDescent="0.3">
      <c r="B49" s="108">
        <v>48</v>
      </c>
      <c r="C49" s="36" t="s">
        <v>155</v>
      </c>
      <c r="D49" s="36" t="s">
        <v>156</v>
      </c>
      <c r="E49" s="103" t="s">
        <v>233</v>
      </c>
      <c r="F49" s="104"/>
      <c r="G49" s="104"/>
      <c r="H49" s="103"/>
      <c r="I49" s="104"/>
      <c r="J49" s="104"/>
      <c r="K49" s="104" t="s">
        <v>233</v>
      </c>
      <c r="L49" s="104"/>
      <c r="M49" s="104"/>
      <c r="N49" s="105"/>
    </row>
    <row r="50" spans="2:14" s="107" customFormat="1" ht="62.4" x14ac:dyDescent="0.3">
      <c r="B50" s="108">
        <v>49</v>
      </c>
      <c r="C50" s="36" t="s">
        <v>158</v>
      </c>
      <c r="D50" s="36" t="s">
        <v>159</v>
      </c>
      <c r="E50" s="103" t="s">
        <v>233</v>
      </c>
      <c r="F50" s="104"/>
      <c r="G50" s="104" t="s">
        <v>233</v>
      </c>
      <c r="H50" s="103"/>
      <c r="I50" s="104"/>
      <c r="J50" s="104"/>
      <c r="K50" s="104"/>
      <c r="L50" s="104"/>
      <c r="M50" s="104"/>
      <c r="N50" s="105"/>
    </row>
    <row r="51" spans="2:14" s="107" customFormat="1" ht="46.8" x14ac:dyDescent="0.3">
      <c r="B51" s="108">
        <v>50</v>
      </c>
      <c r="C51" s="36" t="s">
        <v>161</v>
      </c>
      <c r="D51" s="36" t="s">
        <v>162</v>
      </c>
      <c r="E51" s="103"/>
      <c r="F51" s="104"/>
      <c r="G51" s="104" t="s">
        <v>233</v>
      </c>
      <c r="H51" s="103"/>
      <c r="I51" s="104"/>
      <c r="J51" s="104"/>
      <c r="K51" s="104"/>
      <c r="L51" s="104"/>
      <c r="M51" s="104"/>
      <c r="N51" s="105"/>
    </row>
    <row r="52" spans="2:14" s="107" customFormat="1" ht="46.8" x14ac:dyDescent="0.3">
      <c r="B52" s="108">
        <v>51</v>
      </c>
      <c r="C52" s="36" t="s">
        <v>164</v>
      </c>
      <c r="D52" s="36" t="s">
        <v>165</v>
      </c>
      <c r="E52" s="103"/>
      <c r="F52" s="104"/>
      <c r="G52" s="104" t="s">
        <v>233</v>
      </c>
      <c r="H52" s="103"/>
      <c r="I52" s="104"/>
      <c r="J52" s="104"/>
      <c r="K52" s="104"/>
      <c r="L52" s="104"/>
      <c r="M52" s="104"/>
      <c r="N52" s="105"/>
    </row>
    <row r="53" spans="2:14" s="107" customFormat="1" ht="46.8" x14ac:dyDescent="0.3">
      <c r="B53" s="108">
        <v>52</v>
      </c>
      <c r="C53" s="36" t="s">
        <v>168</v>
      </c>
      <c r="D53" s="36" t="s">
        <v>169</v>
      </c>
      <c r="E53" s="103"/>
      <c r="F53" s="104"/>
      <c r="G53" s="104" t="s">
        <v>233</v>
      </c>
      <c r="H53" s="103"/>
      <c r="I53" s="104"/>
      <c r="J53" s="104"/>
      <c r="K53" s="104"/>
      <c r="L53" s="104"/>
      <c r="M53" s="104"/>
      <c r="N53" s="105"/>
    </row>
    <row r="54" spans="2:14" s="107" customFormat="1" ht="46.8" x14ac:dyDescent="0.3">
      <c r="B54" s="108">
        <v>53</v>
      </c>
      <c r="C54" s="36" t="s">
        <v>171</v>
      </c>
      <c r="D54" s="36" t="s">
        <v>172</v>
      </c>
      <c r="E54" s="103" t="s">
        <v>233</v>
      </c>
      <c r="F54" s="104"/>
      <c r="G54" s="104"/>
      <c r="H54" s="103"/>
      <c r="I54" s="104" t="s">
        <v>233</v>
      </c>
      <c r="J54" s="104"/>
      <c r="K54" s="104"/>
      <c r="L54" s="104"/>
      <c r="M54" s="104"/>
      <c r="N54" s="105"/>
    </row>
    <row r="55" spans="2:14" s="107" customFormat="1" ht="47.4" thickBot="1" x14ac:dyDescent="0.35">
      <c r="B55" s="109">
        <v>54</v>
      </c>
      <c r="C55" s="63" t="s">
        <v>174</v>
      </c>
      <c r="D55" s="63" t="s">
        <v>175</v>
      </c>
      <c r="E55" s="110"/>
      <c r="F55" s="111"/>
      <c r="G55" s="111"/>
      <c r="H55" s="110"/>
      <c r="I55" s="111"/>
      <c r="J55" s="111"/>
      <c r="K55" s="111"/>
      <c r="L55" s="111"/>
      <c r="M55" s="111"/>
      <c r="N55" s="112"/>
    </row>
    <row r="56" spans="2:14" s="114" customFormat="1" ht="16.2" thickTop="1" x14ac:dyDescent="0.3">
      <c r="B56" s="124"/>
      <c r="C56" s="125" t="s">
        <v>238</v>
      </c>
      <c r="D56" s="67">
        <f>COUNTA(D5:D55)</f>
        <v>51</v>
      </c>
      <c r="E56" s="68">
        <f>COUNTA(E5:E55)</f>
        <v>25</v>
      </c>
      <c r="F56" s="68">
        <f t="shared" ref="F56:N56" si="0">COUNTA(F5:F55)</f>
        <v>13</v>
      </c>
      <c r="G56" s="69">
        <f t="shared" si="0"/>
        <v>26</v>
      </c>
      <c r="H56" s="70">
        <f t="shared" si="0"/>
        <v>3</v>
      </c>
      <c r="I56" s="68">
        <f t="shared" si="0"/>
        <v>9</v>
      </c>
      <c r="J56" s="68">
        <f t="shared" si="0"/>
        <v>1</v>
      </c>
      <c r="K56" s="68">
        <f t="shared" si="0"/>
        <v>7</v>
      </c>
      <c r="L56" s="68">
        <f t="shared" si="0"/>
        <v>2</v>
      </c>
      <c r="M56" s="68">
        <f t="shared" si="0"/>
        <v>5</v>
      </c>
      <c r="N56" s="71">
        <f t="shared" si="0"/>
        <v>6</v>
      </c>
    </row>
    <row r="57" spans="2:14" ht="16.2" thickBot="1" x14ac:dyDescent="0.35">
      <c r="B57" s="126"/>
      <c r="C57" s="127" t="s">
        <v>239</v>
      </c>
      <c r="D57" s="75">
        <v>1</v>
      </c>
      <c r="E57" s="76">
        <f>E56/SUM($E$56:$G$56)</f>
        <v>0.390625</v>
      </c>
      <c r="F57" s="76">
        <f t="shared" ref="F57:G57" si="1">F56/SUM($E$56:$G$56)</f>
        <v>0.203125</v>
      </c>
      <c r="G57" s="85">
        <f t="shared" si="1"/>
        <v>0.40625</v>
      </c>
      <c r="H57" s="84">
        <f>H56/SUM($H$56:$N$56)</f>
        <v>9.0909090909090912E-2</v>
      </c>
      <c r="I57" s="76">
        <f t="shared" ref="I57:N57" si="2">I56/SUM($H$56:$N$56)</f>
        <v>0.27272727272727271</v>
      </c>
      <c r="J57" s="76">
        <f t="shared" si="2"/>
        <v>3.0303030303030304E-2</v>
      </c>
      <c r="K57" s="76">
        <f t="shared" si="2"/>
        <v>0.21212121212121213</v>
      </c>
      <c r="L57" s="76">
        <f t="shared" si="2"/>
        <v>6.0606060606060608E-2</v>
      </c>
      <c r="M57" s="76">
        <f t="shared" si="2"/>
        <v>0.15151515151515152</v>
      </c>
      <c r="N57" s="117">
        <f t="shared" si="2"/>
        <v>0.18181818181818182</v>
      </c>
    </row>
  </sheetData>
  <mergeCells count="2">
    <mergeCell ref="E3:G3"/>
    <mergeCell ref="H3:N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FF8C-82CE-4FF1-8858-A678006924CF}">
  <dimension ref="B1:EP60"/>
  <sheetViews>
    <sheetView zoomScale="85" zoomScaleNormal="85" workbookViewId="0">
      <pane xSplit="4" ySplit="4" topLeftCell="AA47" activePane="bottomRight" state="frozen"/>
      <selection pane="topRight" activeCell="E1" sqref="E1"/>
      <selection pane="bottomLeft" activeCell="A5" sqref="A5"/>
      <selection pane="bottomRight" activeCell="AJ57" sqref="AJ57"/>
    </sheetView>
  </sheetViews>
  <sheetFormatPr defaultColWidth="13.21875" defaultRowHeight="15.6" x14ac:dyDescent="0.3"/>
  <cols>
    <col min="1" max="1" width="13.21875" style="91"/>
    <col min="2" max="2" width="6.5546875" style="91" customWidth="1"/>
    <col min="3" max="3" width="45.6640625" style="91" customWidth="1"/>
    <col min="4" max="4" width="20.77734375" style="91" customWidth="1"/>
    <col min="5" max="14" width="9.109375" style="91" bestFit="1" customWidth="1"/>
    <col min="15" max="15" width="9.109375" bestFit="1" customWidth="1"/>
    <col min="16" max="28" width="9.109375" style="91" bestFit="1" customWidth="1"/>
    <col min="29" max="30" width="9.109375" bestFit="1" customWidth="1"/>
    <col min="31" max="31" width="12" bestFit="1" customWidth="1"/>
    <col min="32" max="33" width="9.109375" bestFit="1" customWidth="1"/>
    <col min="34" max="35" width="9.109375" style="91" bestFit="1" customWidth="1"/>
    <col min="36" max="36" width="9.109375" bestFit="1" customWidth="1"/>
    <col min="37" max="44" width="9.109375" style="91" bestFit="1" customWidth="1"/>
    <col min="45" max="47" width="9.109375" bestFit="1" customWidth="1"/>
    <col min="48" max="58" width="9.109375" style="91" bestFit="1" customWidth="1"/>
    <col min="59" max="61" width="9.109375" bestFit="1" customWidth="1"/>
    <col min="62" max="62" width="9.109375" style="91" bestFit="1" customWidth="1"/>
    <col min="63" max="63" width="9.109375" bestFit="1" customWidth="1"/>
    <col min="64" max="71" width="9.109375" style="91" bestFit="1" customWidth="1"/>
    <col min="72" max="72" width="9.109375" bestFit="1" customWidth="1"/>
    <col min="73" max="73" width="12" bestFit="1" customWidth="1"/>
    <col min="74" max="75" width="9.109375" style="91" bestFit="1" customWidth="1"/>
    <col min="76" max="76" width="9.109375" bestFit="1" customWidth="1"/>
    <col min="77" max="77" width="9.109375" style="91" bestFit="1" customWidth="1"/>
    <col min="78" max="94" width="9.109375" bestFit="1" customWidth="1"/>
    <col min="95" max="95" width="9.109375" style="91" bestFit="1" customWidth="1"/>
    <col min="96" max="99" width="9.109375" bestFit="1" customWidth="1"/>
    <col min="100" max="100" width="9.109375" style="91" bestFit="1" customWidth="1"/>
    <col min="101" max="102" width="9.109375" bestFit="1" customWidth="1"/>
    <col min="103" max="104" width="9.109375" style="91" bestFit="1" customWidth="1"/>
    <col min="105" max="105" width="9.109375" bestFit="1" customWidth="1"/>
    <col min="106" max="107" width="12" bestFit="1" customWidth="1"/>
    <col min="113" max="113" width="6.5546875" style="91" customWidth="1"/>
    <col min="115" max="129" width="6.5546875" style="91" customWidth="1"/>
    <col min="130" max="142" width="5.109375" style="91" customWidth="1"/>
    <col min="147" max="152" width="5.109375" style="91" customWidth="1"/>
    <col min="153" max="16384" width="13.21875" style="91"/>
  </cols>
  <sheetData>
    <row r="1" spans="2:146" x14ac:dyDescent="0.3">
      <c r="O1" s="91"/>
      <c r="AC1" s="91"/>
      <c r="AD1" s="91"/>
      <c r="AE1" s="91"/>
      <c r="AF1" s="91"/>
      <c r="AG1" s="91"/>
      <c r="AJ1" s="91"/>
      <c r="AS1" s="91"/>
      <c r="AT1" s="91"/>
      <c r="AU1" s="91"/>
      <c r="BG1" s="91"/>
      <c r="BH1" s="91"/>
      <c r="BI1" s="91"/>
      <c r="BK1" s="91"/>
      <c r="BT1" s="91"/>
      <c r="BU1" s="91"/>
      <c r="BX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91"/>
      <c r="CP1" s="91"/>
      <c r="CR1" s="91"/>
      <c r="CS1" s="91"/>
      <c r="CT1" s="91"/>
      <c r="CU1" s="91"/>
      <c r="CW1" s="91"/>
      <c r="CX1" s="91"/>
      <c r="DA1" s="91"/>
      <c r="DB1" s="91"/>
      <c r="DC1" s="91"/>
      <c r="DD1" s="91"/>
      <c r="DE1" s="91"/>
      <c r="DF1" s="91"/>
      <c r="DG1" s="91"/>
      <c r="DH1" s="91"/>
      <c r="DJ1" s="91"/>
      <c r="EM1" s="91"/>
      <c r="EN1" s="91"/>
      <c r="EO1" s="91"/>
      <c r="EP1" s="91"/>
    </row>
    <row r="2" spans="2:146" ht="16.2" thickBot="1" x14ac:dyDescent="0.35">
      <c r="O2" s="91"/>
      <c r="AC2" s="91"/>
      <c r="AD2" s="91"/>
      <c r="AE2" s="91"/>
      <c r="AF2" s="91"/>
      <c r="AG2" s="91"/>
      <c r="AJ2" s="91"/>
      <c r="AS2" s="91"/>
      <c r="AT2" s="91"/>
      <c r="AU2" s="91"/>
      <c r="BG2" s="91"/>
      <c r="BH2" s="91"/>
      <c r="BI2" s="91"/>
      <c r="BK2" s="91"/>
      <c r="BT2" s="91"/>
      <c r="BU2" s="91"/>
      <c r="BX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R2" s="91"/>
      <c r="CS2" s="91"/>
      <c r="CT2" s="91"/>
      <c r="CU2" s="91"/>
      <c r="CW2" s="91"/>
      <c r="CX2" s="91"/>
      <c r="DA2" s="91"/>
      <c r="DB2" s="91"/>
      <c r="DC2" s="91"/>
      <c r="DD2" s="91"/>
      <c r="DE2" s="91"/>
      <c r="DF2" s="91"/>
      <c r="DG2" s="91"/>
      <c r="DH2" s="91"/>
      <c r="DJ2" s="91"/>
      <c r="EM2" s="91"/>
      <c r="EN2" s="91"/>
      <c r="EO2" s="91"/>
      <c r="EP2" s="91"/>
    </row>
    <row r="3" spans="2:146" s="130" customFormat="1" ht="16.95" customHeight="1" x14ac:dyDescent="0.3">
      <c r="B3" s="128"/>
      <c r="C3" s="129"/>
      <c r="D3" s="129"/>
      <c r="E3" s="203" t="s">
        <v>253</v>
      </c>
      <c r="F3" s="204"/>
      <c r="G3" s="204"/>
      <c r="H3" s="204"/>
      <c r="I3" s="204"/>
      <c r="J3" s="204"/>
      <c r="K3" s="204"/>
      <c r="L3" s="204"/>
      <c r="M3" s="204"/>
      <c r="N3" s="204"/>
      <c r="O3" s="203" t="s">
        <v>254</v>
      </c>
      <c r="P3" s="204"/>
      <c r="Q3" s="204"/>
      <c r="R3" s="204"/>
      <c r="S3" s="204"/>
      <c r="T3" s="204"/>
      <c r="U3" s="204"/>
      <c r="V3" s="205"/>
      <c r="W3" s="203" t="s">
        <v>255</v>
      </c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5"/>
      <c r="AI3" s="203" t="s">
        <v>256</v>
      </c>
      <c r="AJ3" s="204"/>
      <c r="AK3" s="204"/>
      <c r="AL3" s="204"/>
      <c r="AM3" s="204"/>
      <c r="AN3" s="204"/>
      <c r="AO3" s="204"/>
      <c r="AP3" s="204"/>
      <c r="AQ3" s="204"/>
      <c r="AR3" s="204"/>
      <c r="AS3" s="204"/>
      <c r="AT3" s="204"/>
      <c r="AU3" s="205"/>
      <c r="AV3" s="200" t="s">
        <v>257</v>
      </c>
      <c r="AW3" s="201"/>
      <c r="AX3" s="201"/>
      <c r="AY3" s="201"/>
      <c r="AZ3" s="201"/>
      <c r="BA3" s="201"/>
      <c r="BB3" s="201"/>
      <c r="BC3" s="201"/>
      <c r="BD3" s="201"/>
      <c r="BE3" s="201"/>
      <c r="BF3" s="201"/>
      <c r="BG3" s="200" t="s">
        <v>66</v>
      </c>
      <c r="BH3" s="201"/>
      <c r="BI3" s="201"/>
      <c r="BJ3" s="202"/>
      <c r="BK3" s="200" t="s">
        <v>258</v>
      </c>
      <c r="BL3" s="201"/>
      <c r="BM3" s="201"/>
      <c r="BN3" s="201"/>
      <c r="BO3" s="201"/>
      <c r="BP3" s="201"/>
      <c r="BQ3" s="201"/>
      <c r="BR3" s="201"/>
      <c r="BS3" s="201"/>
      <c r="BT3" s="201"/>
      <c r="BU3" s="201"/>
      <c r="BV3" s="201"/>
      <c r="BW3" s="201"/>
      <c r="BX3" s="202"/>
      <c r="BY3" s="200" t="s">
        <v>259</v>
      </c>
      <c r="BZ3" s="201"/>
      <c r="CA3" s="201"/>
      <c r="CB3" s="201"/>
      <c r="CC3" s="202"/>
      <c r="CD3" s="200" t="s">
        <v>260</v>
      </c>
      <c r="CE3" s="201"/>
      <c r="CF3" s="201"/>
      <c r="CG3" s="201"/>
      <c r="CH3" s="201"/>
      <c r="CI3" s="201"/>
      <c r="CJ3" s="201"/>
      <c r="CK3" s="201"/>
      <c r="CL3" s="201"/>
      <c r="CM3" s="201"/>
      <c r="CN3" s="200" t="s">
        <v>261</v>
      </c>
      <c r="CO3" s="201"/>
      <c r="CP3" s="201"/>
      <c r="CQ3" s="201"/>
      <c r="CR3" s="201"/>
      <c r="CS3" s="201"/>
      <c r="CT3" s="201"/>
      <c r="CU3" s="201"/>
      <c r="CV3" s="201"/>
      <c r="CW3" s="201"/>
      <c r="CX3" s="201"/>
      <c r="CY3" s="201"/>
      <c r="CZ3" s="201"/>
      <c r="DA3" s="201"/>
      <c r="DB3" s="201"/>
      <c r="DC3" s="202"/>
    </row>
    <row r="4" spans="2:146" ht="165" customHeight="1" x14ac:dyDescent="0.3">
      <c r="B4" s="94" t="s">
        <v>0</v>
      </c>
      <c r="C4" s="95" t="s">
        <v>241</v>
      </c>
      <c r="D4" s="96" t="s">
        <v>3</v>
      </c>
      <c r="E4" s="97" t="s">
        <v>262</v>
      </c>
      <c r="F4" s="98" t="s">
        <v>263</v>
      </c>
      <c r="G4" s="98" t="s">
        <v>264</v>
      </c>
      <c r="H4" s="98" t="s">
        <v>265</v>
      </c>
      <c r="I4" s="98" t="s">
        <v>266</v>
      </c>
      <c r="J4" s="98" t="s">
        <v>267</v>
      </c>
      <c r="K4" s="98" t="s">
        <v>268</v>
      </c>
      <c r="L4" s="98" t="s">
        <v>269</v>
      </c>
      <c r="M4" s="131" t="s">
        <v>270</v>
      </c>
      <c r="N4" s="99" t="s">
        <v>271</v>
      </c>
      <c r="O4" s="100" t="s">
        <v>272</v>
      </c>
      <c r="P4" s="131" t="s">
        <v>273</v>
      </c>
      <c r="Q4" s="131" t="s">
        <v>274</v>
      </c>
      <c r="R4" s="131" t="s">
        <v>275</v>
      </c>
      <c r="S4" s="131" t="s">
        <v>276</v>
      </c>
      <c r="T4" s="131" t="s">
        <v>277</v>
      </c>
      <c r="U4" s="131" t="s">
        <v>278</v>
      </c>
      <c r="V4" s="99" t="s">
        <v>279</v>
      </c>
      <c r="W4" s="98" t="s">
        <v>280</v>
      </c>
      <c r="X4" s="98" t="s">
        <v>281</v>
      </c>
      <c r="Y4" s="132" t="s">
        <v>282</v>
      </c>
      <c r="Z4" s="98" t="s">
        <v>283</v>
      </c>
      <c r="AA4" s="98" t="s">
        <v>284</v>
      </c>
      <c r="AB4" s="98" t="s">
        <v>285</v>
      </c>
      <c r="AC4" s="98" t="s">
        <v>286</v>
      </c>
      <c r="AD4" s="98" t="s">
        <v>287</v>
      </c>
      <c r="AE4" s="98" t="s">
        <v>288</v>
      </c>
      <c r="AF4" s="98" t="s">
        <v>289</v>
      </c>
      <c r="AG4" s="98" t="s">
        <v>290</v>
      </c>
      <c r="AH4" s="99" t="s">
        <v>291</v>
      </c>
      <c r="AI4" s="97" t="s">
        <v>292</v>
      </c>
      <c r="AJ4" s="98" t="s">
        <v>293</v>
      </c>
      <c r="AK4" s="98" t="s">
        <v>294</v>
      </c>
      <c r="AL4" s="98" t="s">
        <v>295</v>
      </c>
      <c r="AM4" s="98" t="s">
        <v>296</v>
      </c>
      <c r="AN4" s="98" t="s">
        <v>297</v>
      </c>
      <c r="AO4" s="98" t="s">
        <v>298</v>
      </c>
      <c r="AP4" s="98" t="s">
        <v>299</v>
      </c>
      <c r="AQ4" s="98" t="s">
        <v>300</v>
      </c>
      <c r="AR4" s="98" t="s">
        <v>301</v>
      </c>
      <c r="AS4" s="98" t="s">
        <v>302</v>
      </c>
      <c r="AT4" s="133" t="s">
        <v>303</v>
      </c>
      <c r="AU4" s="99" t="s">
        <v>304</v>
      </c>
      <c r="AV4" s="97" t="s">
        <v>305</v>
      </c>
      <c r="AW4" s="98" t="s">
        <v>306</v>
      </c>
      <c r="AX4" s="98" t="s">
        <v>307</v>
      </c>
      <c r="AY4" s="98" t="s">
        <v>308</v>
      </c>
      <c r="AZ4" s="98" t="s">
        <v>309</v>
      </c>
      <c r="BA4" s="98" t="s">
        <v>310</v>
      </c>
      <c r="BB4" s="98" t="s">
        <v>311</v>
      </c>
      <c r="BC4" s="98" t="s">
        <v>312</v>
      </c>
      <c r="BD4" s="98" t="s">
        <v>313</v>
      </c>
      <c r="BE4" s="98" t="s">
        <v>314</v>
      </c>
      <c r="BF4" s="98" t="s">
        <v>315</v>
      </c>
      <c r="BG4" s="97" t="s">
        <v>316</v>
      </c>
      <c r="BH4" s="134" t="s">
        <v>317</v>
      </c>
      <c r="BI4" s="98" t="s">
        <v>318</v>
      </c>
      <c r="BJ4" s="99" t="s">
        <v>319</v>
      </c>
      <c r="BK4" s="98" t="s">
        <v>320</v>
      </c>
      <c r="BL4" s="98" t="s">
        <v>321</v>
      </c>
      <c r="BM4" s="98" t="s">
        <v>322</v>
      </c>
      <c r="BN4" s="98" t="s">
        <v>323</v>
      </c>
      <c r="BO4" s="98" t="s">
        <v>324</v>
      </c>
      <c r="BP4" s="98" t="s">
        <v>325</v>
      </c>
      <c r="BQ4" s="98" t="s">
        <v>326</v>
      </c>
      <c r="BR4" s="98" t="s">
        <v>327</v>
      </c>
      <c r="BS4" s="98" t="s">
        <v>328</v>
      </c>
      <c r="BT4" s="98" t="s">
        <v>329</v>
      </c>
      <c r="BU4" s="131" t="s">
        <v>330</v>
      </c>
      <c r="BV4" s="98" t="s">
        <v>331</v>
      </c>
      <c r="BW4" s="98" t="s">
        <v>332</v>
      </c>
      <c r="BX4" s="99" t="s">
        <v>201</v>
      </c>
      <c r="BY4" s="97" t="s">
        <v>333</v>
      </c>
      <c r="BZ4" s="100" t="s">
        <v>334</v>
      </c>
      <c r="CA4" s="98" t="s">
        <v>335</v>
      </c>
      <c r="CB4" s="98" t="s">
        <v>336</v>
      </c>
      <c r="CC4" s="98" t="s">
        <v>337</v>
      </c>
      <c r="CD4" s="97" t="s">
        <v>338</v>
      </c>
      <c r="CE4" s="98" t="s">
        <v>339</v>
      </c>
      <c r="CF4" s="98" t="s">
        <v>340</v>
      </c>
      <c r="CG4" s="98" t="s">
        <v>341</v>
      </c>
      <c r="CH4" s="98" t="s">
        <v>342</v>
      </c>
      <c r="CI4" s="98" t="s">
        <v>343</v>
      </c>
      <c r="CJ4" s="98" t="s">
        <v>344</v>
      </c>
      <c r="CK4" s="98" t="s">
        <v>345</v>
      </c>
      <c r="CL4" s="98" t="s">
        <v>346</v>
      </c>
      <c r="CM4" s="131" t="s">
        <v>347</v>
      </c>
      <c r="CN4" s="97" t="s">
        <v>348</v>
      </c>
      <c r="CO4" s="98" t="s">
        <v>349</v>
      </c>
      <c r="CP4" s="98" t="s">
        <v>350</v>
      </c>
      <c r="CQ4" s="98" t="s">
        <v>351</v>
      </c>
      <c r="CR4" s="98" t="s">
        <v>352</v>
      </c>
      <c r="CS4" s="98" t="s">
        <v>353</v>
      </c>
      <c r="CT4" s="98" t="s">
        <v>354</v>
      </c>
      <c r="CU4" s="98" t="s">
        <v>355</v>
      </c>
      <c r="CV4" s="98" t="s">
        <v>356</v>
      </c>
      <c r="CW4" s="98" t="s">
        <v>357</v>
      </c>
      <c r="CX4" s="98" t="s">
        <v>358</v>
      </c>
      <c r="CY4" s="98" t="s">
        <v>359</v>
      </c>
      <c r="CZ4" s="98" t="s">
        <v>360</v>
      </c>
      <c r="DA4" s="98" t="s">
        <v>361</v>
      </c>
      <c r="DB4" s="131" t="s">
        <v>362</v>
      </c>
      <c r="DC4" s="99" t="s">
        <v>363</v>
      </c>
      <c r="DD4" s="91"/>
      <c r="DE4" s="91"/>
      <c r="DF4" s="91"/>
      <c r="DG4" s="91"/>
      <c r="DH4" s="91"/>
      <c r="DJ4" s="91"/>
      <c r="EM4" s="91"/>
      <c r="EN4" s="91"/>
      <c r="EO4" s="91"/>
      <c r="EP4" s="91"/>
    </row>
    <row r="5" spans="2:146" s="102" customFormat="1" ht="31.2" x14ac:dyDescent="0.3">
      <c r="B5" s="118">
        <v>1</v>
      </c>
      <c r="C5" s="23" t="s">
        <v>9</v>
      </c>
      <c r="D5" s="23" t="s">
        <v>10</v>
      </c>
      <c r="E5" s="119" t="s">
        <v>233</v>
      </c>
      <c r="F5" s="120"/>
      <c r="G5" s="120"/>
      <c r="H5" s="120" t="s">
        <v>233</v>
      </c>
      <c r="I5" s="120"/>
      <c r="J5" s="146"/>
      <c r="K5" s="146"/>
      <c r="L5" s="146" t="s">
        <v>233</v>
      </c>
      <c r="M5" s="147"/>
      <c r="N5" s="148"/>
      <c r="O5" s="149"/>
      <c r="P5" s="147"/>
      <c r="Q5" s="147"/>
      <c r="R5" s="147"/>
      <c r="S5" s="147"/>
      <c r="T5" s="147"/>
      <c r="U5" s="147"/>
      <c r="V5" s="121"/>
      <c r="W5" s="120"/>
      <c r="X5" s="146"/>
      <c r="Y5" s="146"/>
      <c r="Z5" s="146"/>
      <c r="AA5" s="146"/>
      <c r="AB5" s="146"/>
      <c r="AC5" s="146"/>
      <c r="AD5" s="146"/>
      <c r="AE5" s="146"/>
      <c r="AF5" s="146"/>
      <c r="AG5" s="120"/>
      <c r="AH5" s="121"/>
      <c r="AI5" s="119"/>
      <c r="AJ5" s="120" t="s">
        <v>233</v>
      </c>
      <c r="AK5" s="120" t="s">
        <v>233</v>
      </c>
      <c r="AL5" s="120" t="s">
        <v>233</v>
      </c>
      <c r="AM5" s="120"/>
      <c r="AN5" s="120"/>
      <c r="AO5" s="120"/>
      <c r="AP5" s="120"/>
      <c r="AQ5" s="120"/>
      <c r="AR5" s="120"/>
      <c r="AS5" s="120"/>
      <c r="AT5" s="147"/>
      <c r="AU5" s="148"/>
      <c r="AV5" s="119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19"/>
      <c r="BH5" s="150"/>
      <c r="BI5" s="120"/>
      <c r="BJ5" s="148"/>
      <c r="BK5" s="120"/>
      <c r="BL5" s="120"/>
      <c r="BM5" s="120"/>
      <c r="BN5" s="120"/>
      <c r="BO5" s="120"/>
      <c r="BP5" s="120"/>
      <c r="BQ5" s="120"/>
      <c r="BR5" s="120"/>
      <c r="BS5" s="120"/>
      <c r="BT5" s="120"/>
      <c r="BU5" s="147"/>
      <c r="BV5" s="120"/>
      <c r="BW5" s="120"/>
      <c r="BX5" s="121"/>
      <c r="BY5" s="151"/>
      <c r="BZ5" s="149"/>
      <c r="CA5" s="120"/>
      <c r="CB5" s="120"/>
      <c r="CC5" s="146"/>
      <c r="CD5" s="119"/>
      <c r="CE5" s="120"/>
      <c r="CF5" s="120"/>
      <c r="CG5" s="146"/>
      <c r="CH5" s="146"/>
      <c r="CI5" s="146"/>
      <c r="CJ5" s="146"/>
      <c r="CK5" s="146"/>
      <c r="CL5" s="120"/>
      <c r="CM5" s="152"/>
      <c r="CN5" s="151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 t="s">
        <v>233</v>
      </c>
      <c r="CZ5" s="120"/>
      <c r="DA5" s="120"/>
      <c r="DB5" s="147"/>
      <c r="DC5" s="121"/>
    </row>
    <row r="6" spans="2:146" s="102" customFormat="1" ht="31.2" x14ac:dyDescent="0.3">
      <c r="B6" s="108">
        <v>2</v>
      </c>
      <c r="C6" s="36" t="s">
        <v>17</v>
      </c>
      <c r="D6" s="36" t="s">
        <v>18</v>
      </c>
      <c r="E6" s="103"/>
      <c r="F6" s="104"/>
      <c r="G6" s="104"/>
      <c r="H6" s="104"/>
      <c r="I6" s="104"/>
      <c r="J6" s="123"/>
      <c r="K6" s="123"/>
      <c r="L6" s="123"/>
      <c r="M6" s="135"/>
      <c r="N6" s="136"/>
      <c r="O6" s="137"/>
      <c r="P6" s="135"/>
      <c r="Q6" s="135"/>
      <c r="R6" s="135"/>
      <c r="S6" s="135"/>
      <c r="T6" s="135"/>
      <c r="U6" s="135"/>
      <c r="V6" s="105"/>
      <c r="W6" s="104"/>
      <c r="X6" s="123"/>
      <c r="Y6" s="123" t="s">
        <v>233</v>
      </c>
      <c r="Z6" s="123" t="s">
        <v>233</v>
      </c>
      <c r="AA6" s="123"/>
      <c r="AB6" s="123"/>
      <c r="AC6" s="123" t="s">
        <v>233</v>
      </c>
      <c r="AD6" s="123"/>
      <c r="AE6" s="123"/>
      <c r="AF6" s="123"/>
      <c r="AG6" s="104" t="s">
        <v>233</v>
      </c>
      <c r="AH6" s="105" t="s">
        <v>233</v>
      </c>
      <c r="AI6" s="103"/>
      <c r="AJ6" s="104"/>
      <c r="AK6" s="104" t="s">
        <v>233</v>
      </c>
      <c r="AL6" s="104"/>
      <c r="AM6" s="104" t="s">
        <v>233</v>
      </c>
      <c r="AN6" s="104"/>
      <c r="AO6" s="104"/>
      <c r="AP6" s="104" t="s">
        <v>233</v>
      </c>
      <c r="AQ6" s="104"/>
      <c r="AR6" s="104" t="s">
        <v>233</v>
      </c>
      <c r="AS6" s="104"/>
      <c r="AT6" s="135"/>
      <c r="AU6" s="136"/>
      <c r="AV6" s="103"/>
      <c r="AW6" s="104" t="s">
        <v>233</v>
      </c>
      <c r="AX6" s="104"/>
      <c r="AY6" s="104"/>
      <c r="AZ6" s="104" t="s">
        <v>233</v>
      </c>
      <c r="BA6" s="104"/>
      <c r="BB6" s="104"/>
      <c r="BC6" s="104"/>
      <c r="BD6" s="104"/>
      <c r="BE6" s="104"/>
      <c r="BF6" s="104"/>
      <c r="BG6" s="103" t="s">
        <v>233</v>
      </c>
      <c r="BH6" s="138"/>
      <c r="BI6" s="104"/>
      <c r="BJ6" s="136"/>
      <c r="BK6" s="104"/>
      <c r="BL6" s="104" t="s">
        <v>233</v>
      </c>
      <c r="BM6" s="104" t="s">
        <v>233</v>
      </c>
      <c r="BN6" s="104"/>
      <c r="BO6" s="104"/>
      <c r="BP6" s="104"/>
      <c r="BQ6" s="104"/>
      <c r="BR6" s="104"/>
      <c r="BS6" s="104"/>
      <c r="BT6" s="104"/>
      <c r="BU6" s="135"/>
      <c r="BV6" s="104"/>
      <c r="BW6" s="104"/>
      <c r="BX6" s="105" t="s">
        <v>233</v>
      </c>
      <c r="BY6" s="139" t="s">
        <v>233</v>
      </c>
      <c r="BZ6" s="137"/>
      <c r="CA6" s="104"/>
      <c r="CB6" s="104"/>
      <c r="CC6" s="123"/>
      <c r="CD6" s="103"/>
      <c r="CE6" s="104"/>
      <c r="CF6" s="104"/>
      <c r="CG6" s="123"/>
      <c r="CH6" s="123"/>
      <c r="CI6" s="123"/>
      <c r="CJ6" s="123"/>
      <c r="CK6" s="123"/>
      <c r="CL6" s="104"/>
      <c r="CM6" s="153"/>
      <c r="CN6" s="139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B6" s="135"/>
      <c r="DC6" s="105"/>
    </row>
    <row r="7" spans="2:146" s="102" customFormat="1" ht="31.2" x14ac:dyDescent="0.3">
      <c r="B7" s="108">
        <v>3</v>
      </c>
      <c r="C7" s="36" t="s">
        <v>20</v>
      </c>
      <c r="D7" s="36" t="s">
        <v>21</v>
      </c>
      <c r="E7" s="103"/>
      <c r="F7" s="104"/>
      <c r="G7" s="104"/>
      <c r="H7" s="104"/>
      <c r="I7" s="104"/>
      <c r="J7" s="123"/>
      <c r="K7" s="123"/>
      <c r="L7" s="123"/>
      <c r="M7" s="135"/>
      <c r="N7" s="136"/>
      <c r="O7" s="137"/>
      <c r="P7" s="135"/>
      <c r="Q7" s="135"/>
      <c r="R7" s="135"/>
      <c r="S7" s="135"/>
      <c r="T7" s="135"/>
      <c r="U7" s="135"/>
      <c r="V7" s="105"/>
      <c r="W7" s="104"/>
      <c r="X7" s="123"/>
      <c r="Y7" s="123"/>
      <c r="Z7" s="123"/>
      <c r="AA7" s="123"/>
      <c r="AB7" s="123"/>
      <c r="AC7" s="123"/>
      <c r="AD7" s="123"/>
      <c r="AE7" s="123"/>
      <c r="AF7" s="123"/>
      <c r="AG7" s="104"/>
      <c r="AH7" s="105"/>
      <c r="AI7" s="103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35"/>
      <c r="AU7" s="136"/>
      <c r="AV7" s="103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3"/>
      <c r="BH7" s="138"/>
      <c r="BI7" s="104"/>
      <c r="BJ7" s="136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35"/>
      <c r="BV7" s="104"/>
      <c r="BW7" s="104"/>
      <c r="BX7" s="105"/>
      <c r="BY7" s="139"/>
      <c r="BZ7" s="137"/>
      <c r="CA7" s="104"/>
      <c r="CB7" s="104"/>
      <c r="CC7" s="123"/>
      <c r="CD7" s="103"/>
      <c r="CE7" s="104"/>
      <c r="CF7" s="104"/>
      <c r="CG7" s="123"/>
      <c r="CH7" s="123"/>
      <c r="CI7" s="123"/>
      <c r="CJ7" s="123"/>
      <c r="CK7" s="123"/>
      <c r="CL7" s="104"/>
      <c r="CM7" s="153"/>
      <c r="CN7" s="139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B7" s="135"/>
      <c r="DC7" s="105"/>
    </row>
    <row r="8" spans="2:146" s="102" customFormat="1" ht="31.2" x14ac:dyDescent="0.3">
      <c r="B8" s="108">
        <v>4</v>
      </c>
      <c r="C8" s="36" t="s">
        <v>25</v>
      </c>
      <c r="D8" s="36" t="s">
        <v>26</v>
      </c>
      <c r="E8" s="103"/>
      <c r="F8" s="104" t="s">
        <v>233</v>
      </c>
      <c r="G8" s="104"/>
      <c r="H8" s="104"/>
      <c r="I8" s="104"/>
      <c r="J8" s="123"/>
      <c r="K8" s="123"/>
      <c r="L8" s="123"/>
      <c r="M8" s="135"/>
      <c r="N8" s="136"/>
      <c r="O8" s="137"/>
      <c r="P8" s="135"/>
      <c r="Q8" s="135"/>
      <c r="R8" s="135"/>
      <c r="S8" s="135"/>
      <c r="T8" s="135"/>
      <c r="U8" s="135" t="s">
        <v>233</v>
      </c>
      <c r="V8" s="105"/>
      <c r="W8" s="104" t="s">
        <v>233</v>
      </c>
      <c r="X8" s="123"/>
      <c r="Y8" s="123"/>
      <c r="Z8" s="123"/>
      <c r="AA8" s="123"/>
      <c r="AB8" s="123"/>
      <c r="AC8" s="123"/>
      <c r="AD8" s="123"/>
      <c r="AE8" s="123"/>
      <c r="AF8" s="123"/>
      <c r="AG8" s="104"/>
      <c r="AH8" s="105"/>
      <c r="AI8" s="103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35"/>
      <c r="AU8" s="136"/>
      <c r="AV8" s="103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3"/>
      <c r="BH8" s="138"/>
      <c r="BI8" s="104"/>
      <c r="BJ8" s="136"/>
      <c r="BK8" s="104" t="s">
        <v>233</v>
      </c>
      <c r="BL8" s="104"/>
      <c r="BM8" s="104"/>
      <c r="BN8" s="104"/>
      <c r="BO8" s="104"/>
      <c r="BP8" s="104"/>
      <c r="BQ8" s="104"/>
      <c r="BR8" s="104"/>
      <c r="BS8" s="104"/>
      <c r="BT8" s="104"/>
      <c r="BU8" s="135"/>
      <c r="BV8" s="104"/>
      <c r="BW8" s="104"/>
      <c r="BX8" s="105"/>
      <c r="BY8" s="139"/>
      <c r="BZ8" s="137"/>
      <c r="CA8" s="104"/>
      <c r="CB8" s="104"/>
      <c r="CC8" s="123"/>
      <c r="CD8" s="103"/>
      <c r="CE8" s="104"/>
      <c r="CF8" s="104"/>
      <c r="CG8" s="123"/>
      <c r="CH8" s="123"/>
      <c r="CI8" s="123"/>
      <c r="CJ8" s="123"/>
      <c r="CK8" s="123"/>
      <c r="CL8" s="104"/>
      <c r="CM8" s="153"/>
      <c r="CN8" s="139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 t="s">
        <v>233</v>
      </c>
      <c r="DA8" s="104"/>
      <c r="DB8" s="135"/>
      <c r="DC8" s="105"/>
    </row>
    <row r="9" spans="2:146" s="102" customFormat="1" ht="31.2" x14ac:dyDescent="0.3">
      <c r="B9" s="108">
        <v>5</v>
      </c>
      <c r="C9" s="36" t="s">
        <v>30</v>
      </c>
      <c r="D9" s="36" t="s">
        <v>31</v>
      </c>
      <c r="E9" s="103"/>
      <c r="F9" s="104" t="s">
        <v>235</v>
      </c>
      <c r="G9" s="104" t="s">
        <v>235</v>
      </c>
      <c r="H9" s="104"/>
      <c r="I9" s="104"/>
      <c r="J9" s="123"/>
      <c r="K9" s="123"/>
      <c r="L9" s="123"/>
      <c r="M9" s="135"/>
      <c r="N9" s="136"/>
      <c r="O9" s="137"/>
      <c r="P9" s="135"/>
      <c r="Q9" s="135"/>
      <c r="R9" s="135"/>
      <c r="S9" s="135"/>
      <c r="T9" s="135"/>
      <c r="U9" s="135"/>
      <c r="V9" s="105"/>
      <c r="W9" s="104"/>
      <c r="X9" s="123"/>
      <c r="Y9" s="123"/>
      <c r="Z9" s="123"/>
      <c r="AA9" s="123"/>
      <c r="AB9" s="123"/>
      <c r="AC9" s="123"/>
      <c r="AD9" s="123"/>
      <c r="AE9" s="123"/>
      <c r="AF9" s="123"/>
      <c r="AG9" s="104"/>
      <c r="AH9" s="105"/>
      <c r="AI9" s="103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35"/>
      <c r="AU9" s="136"/>
      <c r="AV9" s="103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3"/>
      <c r="BH9" s="138"/>
      <c r="BI9" s="104"/>
      <c r="BJ9" s="136"/>
      <c r="BK9" s="104" t="s">
        <v>233</v>
      </c>
      <c r="BL9" s="104"/>
      <c r="BM9" s="104"/>
      <c r="BN9" s="104"/>
      <c r="BO9" s="104"/>
      <c r="BP9" s="104"/>
      <c r="BQ9" s="104"/>
      <c r="BR9" s="104"/>
      <c r="BS9" s="104"/>
      <c r="BT9" s="104"/>
      <c r="BU9" s="135"/>
      <c r="BV9" s="104"/>
      <c r="BW9" s="104"/>
      <c r="BX9" s="105"/>
      <c r="BY9" s="139"/>
      <c r="BZ9" s="137"/>
      <c r="CA9" s="104"/>
      <c r="CB9" s="104"/>
      <c r="CC9" s="123"/>
      <c r="CD9" s="103"/>
      <c r="CE9" s="104"/>
      <c r="CF9" s="104" t="s">
        <v>233</v>
      </c>
      <c r="CG9" s="123"/>
      <c r="CH9" s="123"/>
      <c r="CI9" s="123"/>
      <c r="CJ9" s="123"/>
      <c r="CK9" s="123"/>
      <c r="CL9" s="104"/>
      <c r="CM9" s="153"/>
      <c r="CN9" s="139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35"/>
      <c r="DC9" s="105"/>
    </row>
    <row r="10" spans="2:146" s="102" customFormat="1" ht="46.8" x14ac:dyDescent="0.3">
      <c r="B10" s="108">
        <v>6</v>
      </c>
      <c r="C10" s="36" t="s">
        <v>34</v>
      </c>
      <c r="D10" s="36" t="s">
        <v>35</v>
      </c>
      <c r="E10" s="103"/>
      <c r="F10" s="104"/>
      <c r="G10" s="104" t="s">
        <v>233</v>
      </c>
      <c r="H10" s="104"/>
      <c r="I10" s="104"/>
      <c r="J10" s="123"/>
      <c r="K10" s="123" t="s">
        <v>233</v>
      </c>
      <c r="L10" s="123"/>
      <c r="M10" s="135"/>
      <c r="N10" s="136"/>
      <c r="O10" s="137"/>
      <c r="P10" s="135"/>
      <c r="Q10" s="135"/>
      <c r="R10" s="135"/>
      <c r="S10" s="135"/>
      <c r="T10" s="135"/>
      <c r="U10" s="135"/>
      <c r="V10" s="105"/>
      <c r="W10" s="104"/>
      <c r="X10" s="123"/>
      <c r="Y10" s="123"/>
      <c r="Z10" s="123"/>
      <c r="AA10" s="123"/>
      <c r="AB10" s="123"/>
      <c r="AC10" s="123"/>
      <c r="AD10" s="123"/>
      <c r="AE10" s="123"/>
      <c r="AF10" s="123"/>
      <c r="AG10" s="104"/>
      <c r="AH10" s="105"/>
      <c r="AI10" s="103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35"/>
      <c r="AU10" s="136"/>
      <c r="AV10" s="103"/>
      <c r="AW10" s="104"/>
      <c r="AX10" s="104" t="s">
        <v>233</v>
      </c>
      <c r="AY10" s="104"/>
      <c r="AZ10" s="104"/>
      <c r="BA10" s="104"/>
      <c r="BB10" s="104"/>
      <c r="BC10" s="104"/>
      <c r="BD10" s="104"/>
      <c r="BE10" s="104"/>
      <c r="BF10" s="104"/>
      <c r="BG10" s="103"/>
      <c r="BH10" s="138"/>
      <c r="BI10" s="104"/>
      <c r="BJ10" s="136" t="s">
        <v>233</v>
      </c>
      <c r="BK10" s="104" t="s">
        <v>233</v>
      </c>
      <c r="BL10" s="104"/>
      <c r="BM10" s="104"/>
      <c r="BN10" s="104"/>
      <c r="BO10" s="104"/>
      <c r="BP10" s="104"/>
      <c r="BQ10" s="104"/>
      <c r="BR10" s="104"/>
      <c r="BS10" s="104"/>
      <c r="BT10" s="104"/>
      <c r="BU10" s="135"/>
      <c r="BV10" s="104"/>
      <c r="BW10" s="104"/>
      <c r="BX10" s="105"/>
      <c r="BY10" s="139"/>
      <c r="BZ10" s="137"/>
      <c r="CA10" s="104"/>
      <c r="CB10" s="104"/>
      <c r="CC10" s="123"/>
      <c r="CD10" s="103"/>
      <c r="CE10" s="104"/>
      <c r="CF10" s="104"/>
      <c r="CG10" s="123"/>
      <c r="CH10" s="123"/>
      <c r="CI10" s="123"/>
      <c r="CJ10" s="123"/>
      <c r="CK10" s="123"/>
      <c r="CL10" s="104"/>
      <c r="CM10" s="153"/>
      <c r="CN10" s="139"/>
      <c r="CO10" s="104"/>
      <c r="CP10" s="104"/>
      <c r="CQ10" s="104"/>
      <c r="CR10" s="104"/>
      <c r="CS10" s="104"/>
      <c r="CT10" s="104" t="s">
        <v>233</v>
      </c>
      <c r="CU10" s="104"/>
      <c r="CV10" s="104"/>
      <c r="CW10" s="104"/>
      <c r="CX10" s="104"/>
      <c r="CY10" s="104"/>
      <c r="CZ10" s="104"/>
      <c r="DA10" s="104"/>
      <c r="DB10" s="135"/>
      <c r="DC10" s="105" t="s">
        <v>233</v>
      </c>
    </row>
    <row r="11" spans="2:146" s="102" customFormat="1" ht="31.2" x14ac:dyDescent="0.3">
      <c r="B11" s="108">
        <v>7</v>
      </c>
      <c r="C11" s="36" t="s">
        <v>39</v>
      </c>
      <c r="D11" s="36" t="s">
        <v>40</v>
      </c>
      <c r="E11" s="103"/>
      <c r="F11" s="104"/>
      <c r="G11" s="104" t="s">
        <v>233</v>
      </c>
      <c r="H11" s="104"/>
      <c r="I11" s="104"/>
      <c r="J11" s="123"/>
      <c r="K11" s="123"/>
      <c r="L11" s="123"/>
      <c r="M11" s="135"/>
      <c r="N11" s="136"/>
      <c r="O11" s="137"/>
      <c r="P11" s="135"/>
      <c r="Q11" s="135"/>
      <c r="R11" s="135"/>
      <c r="S11" s="135"/>
      <c r="T11" s="135"/>
      <c r="U11" s="135"/>
      <c r="V11" s="105"/>
      <c r="W11" s="104"/>
      <c r="X11" s="123"/>
      <c r="Y11" s="123"/>
      <c r="Z11" s="123"/>
      <c r="AA11" s="123"/>
      <c r="AB11" s="123"/>
      <c r="AC11" s="123"/>
      <c r="AD11" s="123"/>
      <c r="AE11" s="123"/>
      <c r="AF11" s="123"/>
      <c r="AG11" s="104"/>
      <c r="AH11" s="105"/>
      <c r="AI11" s="103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35"/>
      <c r="AU11" s="136"/>
      <c r="AV11" s="103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3"/>
      <c r="BH11" s="138"/>
      <c r="BI11" s="104"/>
      <c r="BJ11" s="136"/>
      <c r="BK11" s="104"/>
      <c r="BL11" s="104"/>
      <c r="BM11" s="104" t="s">
        <v>233</v>
      </c>
      <c r="BN11" s="104"/>
      <c r="BO11" s="104"/>
      <c r="BP11" s="104"/>
      <c r="BQ11" s="104"/>
      <c r="BR11" s="104"/>
      <c r="BS11" s="104"/>
      <c r="BT11" s="104"/>
      <c r="BU11" s="135"/>
      <c r="BV11" s="104"/>
      <c r="BW11" s="104"/>
      <c r="BX11" s="105"/>
      <c r="BY11" s="139"/>
      <c r="BZ11" s="137"/>
      <c r="CA11" s="104"/>
      <c r="CB11" s="104"/>
      <c r="CC11" s="123"/>
      <c r="CD11" s="103"/>
      <c r="CE11" s="104"/>
      <c r="CF11" s="104"/>
      <c r="CG11" s="123"/>
      <c r="CH11" s="123"/>
      <c r="CI11" s="123"/>
      <c r="CJ11" s="123"/>
      <c r="CK11" s="123"/>
      <c r="CL11" s="104"/>
      <c r="CM11" s="153"/>
      <c r="CN11" s="139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35"/>
      <c r="DC11" s="105"/>
    </row>
    <row r="12" spans="2:146" s="102" customFormat="1" ht="46.8" x14ac:dyDescent="0.3">
      <c r="B12" s="108">
        <v>8</v>
      </c>
      <c r="C12" s="36" t="s">
        <v>42</v>
      </c>
      <c r="D12" s="36" t="s">
        <v>43</v>
      </c>
      <c r="E12" s="103"/>
      <c r="F12" s="104" t="s">
        <v>233</v>
      </c>
      <c r="G12" s="104"/>
      <c r="H12" s="104" t="s">
        <v>233</v>
      </c>
      <c r="I12" s="104"/>
      <c r="J12" s="123"/>
      <c r="K12" s="123"/>
      <c r="L12" s="123"/>
      <c r="M12" s="135"/>
      <c r="N12" s="136"/>
      <c r="O12" s="137"/>
      <c r="P12" s="135"/>
      <c r="Q12" s="135"/>
      <c r="R12" s="135"/>
      <c r="S12" s="135"/>
      <c r="T12" s="135"/>
      <c r="U12" s="135" t="s">
        <v>233</v>
      </c>
      <c r="V12" s="105"/>
      <c r="W12" s="104"/>
      <c r="X12" s="123"/>
      <c r="Y12" s="123"/>
      <c r="Z12" s="123"/>
      <c r="AA12" s="123"/>
      <c r="AB12" s="123"/>
      <c r="AC12" s="123"/>
      <c r="AD12" s="123"/>
      <c r="AE12" s="123"/>
      <c r="AF12" s="123"/>
      <c r="AG12" s="104"/>
      <c r="AH12" s="105"/>
      <c r="AI12" s="103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35"/>
      <c r="AU12" s="136"/>
      <c r="AV12" s="103"/>
      <c r="AW12" s="104" t="s">
        <v>233</v>
      </c>
      <c r="AX12" s="104"/>
      <c r="AY12" s="104"/>
      <c r="AZ12" s="104"/>
      <c r="BA12" s="104"/>
      <c r="BB12" s="104"/>
      <c r="BC12" s="104"/>
      <c r="BD12" s="104"/>
      <c r="BE12" s="104"/>
      <c r="BF12" s="104"/>
      <c r="BG12" s="103"/>
      <c r="BH12" s="138"/>
      <c r="BI12" s="104"/>
      <c r="BJ12" s="136"/>
      <c r="BK12" s="104" t="s">
        <v>233</v>
      </c>
      <c r="BL12" s="104" t="s">
        <v>233</v>
      </c>
      <c r="BM12" s="104"/>
      <c r="BN12" s="104"/>
      <c r="BO12" s="104"/>
      <c r="BP12" s="104"/>
      <c r="BQ12" s="104"/>
      <c r="BR12" s="104"/>
      <c r="BS12" s="104"/>
      <c r="BT12" s="104"/>
      <c r="BU12" s="135"/>
      <c r="BV12" s="104"/>
      <c r="BW12" s="104" t="s">
        <v>233</v>
      </c>
      <c r="BX12" s="105"/>
      <c r="BY12" s="139"/>
      <c r="BZ12" s="137"/>
      <c r="CA12" s="104"/>
      <c r="CB12" s="104"/>
      <c r="CC12" s="123"/>
      <c r="CD12" s="103"/>
      <c r="CE12" s="104"/>
      <c r="CF12" s="104"/>
      <c r="CG12" s="123"/>
      <c r="CH12" s="123"/>
      <c r="CI12" s="123"/>
      <c r="CJ12" s="123"/>
      <c r="CK12" s="123"/>
      <c r="CL12" s="104"/>
      <c r="CM12" s="153"/>
      <c r="CN12" s="139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35"/>
      <c r="DC12" s="105"/>
    </row>
    <row r="13" spans="2:146" s="102" customFormat="1" ht="46.8" x14ac:dyDescent="0.3">
      <c r="B13" s="108">
        <v>9</v>
      </c>
      <c r="C13" s="36" t="s">
        <v>45</v>
      </c>
      <c r="D13" s="36" t="s">
        <v>46</v>
      </c>
      <c r="E13" s="103"/>
      <c r="F13" s="104"/>
      <c r="G13" s="104"/>
      <c r="H13" s="104"/>
      <c r="I13" s="104"/>
      <c r="J13" s="123"/>
      <c r="K13" s="123"/>
      <c r="L13" s="123"/>
      <c r="M13" s="135"/>
      <c r="N13" s="136"/>
      <c r="O13" s="137"/>
      <c r="P13" s="135"/>
      <c r="Q13" s="135"/>
      <c r="R13" s="135"/>
      <c r="S13" s="135"/>
      <c r="T13" s="135"/>
      <c r="U13" s="135"/>
      <c r="V13" s="105"/>
      <c r="W13" s="104"/>
      <c r="X13" s="123"/>
      <c r="Y13" s="123"/>
      <c r="Z13" s="123"/>
      <c r="AA13" s="123"/>
      <c r="AB13" s="123" t="s">
        <v>233</v>
      </c>
      <c r="AC13" s="123"/>
      <c r="AD13" s="123"/>
      <c r="AE13" s="123"/>
      <c r="AF13" s="123"/>
      <c r="AG13" s="104"/>
      <c r="AH13" s="105"/>
      <c r="AI13" s="103" t="s">
        <v>233</v>
      </c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35"/>
      <c r="AU13" s="136"/>
      <c r="AV13" s="103"/>
      <c r="AW13" s="104"/>
      <c r="AX13" s="104"/>
      <c r="AY13" s="104"/>
      <c r="AZ13" s="104" t="s">
        <v>233</v>
      </c>
      <c r="BA13" s="104"/>
      <c r="BB13" s="104"/>
      <c r="BC13" s="104"/>
      <c r="BD13" s="104"/>
      <c r="BE13" s="104"/>
      <c r="BF13" s="104"/>
      <c r="BG13" s="103" t="s">
        <v>233</v>
      </c>
      <c r="BH13" s="138"/>
      <c r="BI13" s="104"/>
      <c r="BJ13" s="136"/>
      <c r="BK13" s="104" t="s">
        <v>233</v>
      </c>
      <c r="BL13" s="104"/>
      <c r="BM13" s="104"/>
      <c r="BN13" s="104"/>
      <c r="BO13" s="104"/>
      <c r="BP13" s="104"/>
      <c r="BQ13" s="104"/>
      <c r="BR13" s="104"/>
      <c r="BS13" s="104"/>
      <c r="BT13" s="104" t="s">
        <v>233</v>
      </c>
      <c r="BU13" s="135"/>
      <c r="BV13" s="104"/>
      <c r="BW13" s="104"/>
      <c r="BX13" s="105"/>
      <c r="BY13" s="139"/>
      <c r="BZ13" s="137"/>
      <c r="CA13" s="104"/>
      <c r="CB13" s="104"/>
      <c r="CC13" s="123"/>
      <c r="CD13" s="103"/>
      <c r="CE13" s="104" t="s">
        <v>233</v>
      </c>
      <c r="CF13" s="104"/>
      <c r="CG13" s="123"/>
      <c r="CH13" s="123"/>
      <c r="CI13" s="123"/>
      <c r="CJ13" s="123"/>
      <c r="CK13" s="123"/>
      <c r="CL13" s="104"/>
      <c r="CM13" s="153"/>
      <c r="CN13" s="139"/>
      <c r="CO13" s="104" t="s">
        <v>233</v>
      </c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35"/>
      <c r="DC13" s="105"/>
    </row>
    <row r="14" spans="2:146" s="102" customFormat="1" ht="31.2" x14ac:dyDescent="0.3">
      <c r="B14" s="108">
        <v>10</v>
      </c>
      <c r="C14" s="36" t="s">
        <v>48</v>
      </c>
      <c r="D14" s="36" t="s">
        <v>49</v>
      </c>
      <c r="E14" s="103"/>
      <c r="F14" s="104"/>
      <c r="G14" s="104"/>
      <c r="H14" s="104"/>
      <c r="I14" s="104"/>
      <c r="J14" s="123"/>
      <c r="K14" s="123"/>
      <c r="L14" s="123"/>
      <c r="M14" s="135"/>
      <c r="N14" s="136"/>
      <c r="O14" s="137"/>
      <c r="P14" s="135"/>
      <c r="Q14" s="135"/>
      <c r="R14" s="135"/>
      <c r="S14" s="135"/>
      <c r="T14" s="135"/>
      <c r="U14" s="135"/>
      <c r="V14" s="105"/>
      <c r="W14" s="104"/>
      <c r="X14" s="123"/>
      <c r="Y14" s="123"/>
      <c r="Z14" s="123"/>
      <c r="AA14" s="123"/>
      <c r="AB14" s="123"/>
      <c r="AC14" s="123"/>
      <c r="AD14" s="123"/>
      <c r="AE14" s="123"/>
      <c r="AF14" s="123"/>
      <c r="AG14" s="104"/>
      <c r="AH14" s="105"/>
      <c r="AI14" s="103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35"/>
      <c r="AU14" s="136"/>
      <c r="AV14" s="103"/>
      <c r="AW14" s="104" t="s">
        <v>233</v>
      </c>
      <c r="AX14" s="104"/>
      <c r="AY14" s="104"/>
      <c r="AZ14" s="104"/>
      <c r="BA14" s="104"/>
      <c r="BB14" s="104"/>
      <c r="BC14" s="104"/>
      <c r="BD14" s="104"/>
      <c r="BE14" s="104"/>
      <c r="BF14" s="104"/>
      <c r="BG14" s="103"/>
      <c r="BH14" s="138"/>
      <c r="BI14" s="104"/>
      <c r="BJ14" s="136"/>
      <c r="BK14" s="104"/>
      <c r="BL14" s="104" t="s">
        <v>233</v>
      </c>
      <c r="BM14" s="104"/>
      <c r="BN14" s="104"/>
      <c r="BO14" s="104"/>
      <c r="BP14" s="104"/>
      <c r="BQ14" s="104"/>
      <c r="BR14" s="104"/>
      <c r="BS14" s="104"/>
      <c r="BT14" s="104"/>
      <c r="BU14" s="135"/>
      <c r="BV14" s="104"/>
      <c r="BW14" s="104" t="s">
        <v>233</v>
      </c>
      <c r="BX14" s="105"/>
      <c r="BY14" s="139"/>
      <c r="BZ14" s="137"/>
      <c r="CA14" s="104"/>
      <c r="CB14" s="104"/>
      <c r="CC14" s="123" t="s">
        <v>233</v>
      </c>
      <c r="CD14" s="103"/>
      <c r="CE14" s="104"/>
      <c r="CF14" s="104"/>
      <c r="CG14" s="123"/>
      <c r="CH14" s="123"/>
      <c r="CI14" s="123"/>
      <c r="CJ14" s="123"/>
      <c r="CK14" s="123"/>
      <c r="CL14" s="104"/>
      <c r="CM14" s="153"/>
      <c r="CN14" s="139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35"/>
      <c r="DC14" s="105"/>
    </row>
    <row r="15" spans="2:146" s="102" customFormat="1" ht="46.8" x14ac:dyDescent="0.3">
      <c r="B15" s="118">
        <v>11</v>
      </c>
      <c r="C15" s="36" t="s">
        <v>51</v>
      </c>
      <c r="D15" s="36" t="s">
        <v>52</v>
      </c>
      <c r="E15" s="103"/>
      <c r="F15" s="104"/>
      <c r="G15" s="104" t="s">
        <v>233</v>
      </c>
      <c r="H15" s="104"/>
      <c r="I15" s="104"/>
      <c r="J15" s="123"/>
      <c r="K15" s="123"/>
      <c r="L15" s="123"/>
      <c r="M15" s="135"/>
      <c r="N15" s="136"/>
      <c r="O15" s="137"/>
      <c r="P15" s="135"/>
      <c r="Q15" s="135"/>
      <c r="R15" s="135"/>
      <c r="S15" s="135"/>
      <c r="T15" s="135"/>
      <c r="U15" s="135"/>
      <c r="V15" s="105"/>
      <c r="W15" s="104"/>
      <c r="X15" s="123"/>
      <c r="Y15" s="123"/>
      <c r="Z15" s="123"/>
      <c r="AA15" s="123"/>
      <c r="AB15" s="123"/>
      <c r="AC15" s="123"/>
      <c r="AD15" s="123"/>
      <c r="AE15" s="123"/>
      <c r="AF15" s="123"/>
      <c r="AG15" s="104"/>
      <c r="AH15" s="105"/>
      <c r="AI15" s="103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35"/>
      <c r="AU15" s="136"/>
      <c r="AV15" s="103"/>
      <c r="AW15" s="104" t="s">
        <v>233</v>
      </c>
      <c r="AX15" s="104"/>
      <c r="AY15" s="104"/>
      <c r="AZ15" s="104"/>
      <c r="BA15" s="104"/>
      <c r="BB15" s="104"/>
      <c r="BC15" s="104"/>
      <c r="BD15" s="104"/>
      <c r="BE15" s="104"/>
      <c r="BF15" s="104"/>
      <c r="BG15" s="103"/>
      <c r="BH15" s="138"/>
      <c r="BI15" s="104"/>
      <c r="BJ15" s="136"/>
      <c r="BK15" s="104" t="s">
        <v>233</v>
      </c>
      <c r="BL15" s="104"/>
      <c r="BM15" s="104"/>
      <c r="BN15" s="104"/>
      <c r="BO15" s="104"/>
      <c r="BP15" s="104"/>
      <c r="BQ15" s="104"/>
      <c r="BR15" s="104"/>
      <c r="BS15" s="104"/>
      <c r="BT15" s="104"/>
      <c r="BU15" s="135" t="s">
        <v>233</v>
      </c>
      <c r="BV15" s="104"/>
      <c r="BW15" s="104"/>
      <c r="BX15" s="105"/>
      <c r="BY15" s="139"/>
      <c r="BZ15" s="137"/>
      <c r="CA15" s="104"/>
      <c r="CB15" s="104"/>
      <c r="CC15" s="123"/>
      <c r="CD15" s="103"/>
      <c r="CE15" s="104"/>
      <c r="CF15" s="104"/>
      <c r="CG15" s="123"/>
      <c r="CH15" s="123"/>
      <c r="CI15" s="123"/>
      <c r="CJ15" s="123"/>
      <c r="CK15" s="123"/>
      <c r="CL15" s="104"/>
      <c r="CM15" s="153"/>
      <c r="CN15" s="139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35"/>
      <c r="DC15" s="105"/>
    </row>
    <row r="16" spans="2:146" s="102" customFormat="1" ht="31.2" x14ac:dyDescent="0.3">
      <c r="B16" s="108">
        <v>12</v>
      </c>
      <c r="C16" s="36" t="s">
        <v>56</v>
      </c>
      <c r="D16" s="36" t="s">
        <v>57</v>
      </c>
      <c r="E16" s="103"/>
      <c r="F16" s="104"/>
      <c r="G16" s="104"/>
      <c r="H16" s="104"/>
      <c r="I16" s="104"/>
      <c r="J16" s="123"/>
      <c r="K16" s="123"/>
      <c r="L16" s="123"/>
      <c r="M16" s="135"/>
      <c r="N16" s="136"/>
      <c r="O16" s="137"/>
      <c r="P16" s="135"/>
      <c r="Q16" s="135"/>
      <c r="R16" s="135"/>
      <c r="S16" s="135"/>
      <c r="T16" s="135"/>
      <c r="U16" s="135"/>
      <c r="V16" s="105"/>
      <c r="W16" s="104"/>
      <c r="X16" s="123"/>
      <c r="Y16" s="123"/>
      <c r="Z16" s="123"/>
      <c r="AA16" s="123"/>
      <c r="AB16" s="123"/>
      <c r="AC16" s="123"/>
      <c r="AD16" s="123"/>
      <c r="AE16" s="123"/>
      <c r="AF16" s="123"/>
      <c r="AG16" s="104"/>
      <c r="AH16" s="105"/>
      <c r="AI16" s="103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35"/>
      <c r="AU16" s="136"/>
      <c r="AV16" s="103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3"/>
      <c r="BH16" s="138"/>
      <c r="BI16" s="104"/>
      <c r="BJ16" s="136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35"/>
      <c r="BV16" s="104"/>
      <c r="BW16" s="104"/>
      <c r="BX16" s="105"/>
      <c r="BY16" s="139"/>
      <c r="BZ16" s="137"/>
      <c r="CA16" s="104"/>
      <c r="CB16" s="104"/>
      <c r="CC16" s="123"/>
      <c r="CD16" s="103"/>
      <c r="CE16" s="104"/>
      <c r="CF16" s="104"/>
      <c r="CG16" s="123"/>
      <c r="CH16" s="123"/>
      <c r="CI16" s="123"/>
      <c r="CJ16" s="123"/>
      <c r="CK16" s="123"/>
      <c r="CL16" s="104"/>
      <c r="CM16" s="153"/>
      <c r="CN16" s="139"/>
      <c r="CO16" s="104"/>
      <c r="CP16" s="104"/>
      <c r="CQ16" s="104"/>
      <c r="CR16" s="104" t="s">
        <v>233</v>
      </c>
      <c r="CS16" s="104"/>
      <c r="CT16" s="104"/>
      <c r="CU16" s="104"/>
      <c r="CV16" s="104" t="s">
        <v>233</v>
      </c>
      <c r="CW16" s="104"/>
      <c r="CX16" s="104"/>
      <c r="CY16" s="104"/>
      <c r="CZ16" s="104"/>
      <c r="DA16" s="104"/>
      <c r="DB16" s="135"/>
      <c r="DC16" s="105"/>
    </row>
    <row r="17" spans="2:107" s="102" customFormat="1" ht="31.2" x14ac:dyDescent="0.3">
      <c r="B17" s="108">
        <v>13</v>
      </c>
      <c r="C17" s="36" t="s">
        <v>60</v>
      </c>
      <c r="D17" s="36" t="s">
        <v>61</v>
      </c>
      <c r="E17" s="103"/>
      <c r="F17" s="104"/>
      <c r="G17" s="104"/>
      <c r="H17" s="104"/>
      <c r="I17" s="104" t="s">
        <v>233</v>
      </c>
      <c r="J17" s="123"/>
      <c r="K17" s="123"/>
      <c r="L17" s="123"/>
      <c r="M17" s="135"/>
      <c r="N17" s="136"/>
      <c r="O17" s="137"/>
      <c r="P17" s="135"/>
      <c r="Q17" s="135"/>
      <c r="R17" s="135"/>
      <c r="S17" s="135"/>
      <c r="T17" s="135"/>
      <c r="U17" s="135"/>
      <c r="V17" s="105"/>
      <c r="W17" s="104"/>
      <c r="X17" s="123"/>
      <c r="Y17" s="123"/>
      <c r="Z17" s="123"/>
      <c r="AA17" s="123"/>
      <c r="AB17" s="123"/>
      <c r="AC17" s="123"/>
      <c r="AD17" s="123"/>
      <c r="AE17" s="123"/>
      <c r="AF17" s="123"/>
      <c r="AG17" s="104"/>
      <c r="AH17" s="105"/>
      <c r="AI17" s="103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35"/>
      <c r="AU17" s="136"/>
      <c r="AV17" s="103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3"/>
      <c r="BH17" s="138"/>
      <c r="BI17" s="104"/>
      <c r="BJ17" s="136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35"/>
      <c r="BV17" s="104"/>
      <c r="BW17" s="104"/>
      <c r="BX17" s="105"/>
      <c r="BY17" s="139"/>
      <c r="BZ17" s="137"/>
      <c r="CA17" s="104" t="s">
        <v>233</v>
      </c>
      <c r="CB17" s="104"/>
      <c r="CC17" s="123"/>
      <c r="CD17" s="103"/>
      <c r="CE17" s="104"/>
      <c r="CF17" s="104"/>
      <c r="CG17" s="123"/>
      <c r="CH17" s="123"/>
      <c r="CI17" s="123"/>
      <c r="CJ17" s="123"/>
      <c r="CK17" s="123"/>
      <c r="CL17" s="104"/>
      <c r="CM17" s="153"/>
      <c r="CN17" s="139"/>
      <c r="CO17" s="104"/>
      <c r="CP17" s="104"/>
      <c r="CQ17" s="104"/>
      <c r="CR17" s="104"/>
      <c r="CS17" s="104" t="s">
        <v>233</v>
      </c>
      <c r="CT17" s="104"/>
      <c r="CU17" s="104"/>
      <c r="CV17" s="104"/>
      <c r="CW17" s="104" t="s">
        <v>233</v>
      </c>
      <c r="CX17" s="104" t="s">
        <v>233</v>
      </c>
      <c r="CY17" s="104"/>
      <c r="CZ17" s="104"/>
      <c r="DA17" s="104"/>
      <c r="DB17" s="135"/>
      <c r="DC17" s="105"/>
    </row>
    <row r="18" spans="2:107" s="102" customFormat="1" ht="31.2" x14ac:dyDescent="0.3">
      <c r="B18" s="108">
        <v>14</v>
      </c>
      <c r="C18" s="36" t="s">
        <v>63</v>
      </c>
      <c r="D18" s="36" t="s">
        <v>64</v>
      </c>
      <c r="E18" s="103"/>
      <c r="F18" s="104" t="s">
        <v>233</v>
      </c>
      <c r="G18" s="104"/>
      <c r="H18" s="104" t="s">
        <v>233</v>
      </c>
      <c r="I18" s="104"/>
      <c r="J18" s="123"/>
      <c r="K18" s="123"/>
      <c r="L18" s="123"/>
      <c r="M18" s="135"/>
      <c r="N18" s="136"/>
      <c r="O18" s="137"/>
      <c r="P18" s="135"/>
      <c r="Q18" s="135"/>
      <c r="R18" s="135"/>
      <c r="S18" s="135"/>
      <c r="T18" s="135"/>
      <c r="U18" s="135"/>
      <c r="V18" s="105"/>
      <c r="W18" s="104"/>
      <c r="X18" s="123"/>
      <c r="Y18" s="123"/>
      <c r="Z18" s="123"/>
      <c r="AA18" s="123"/>
      <c r="AB18" s="123"/>
      <c r="AC18" s="123"/>
      <c r="AD18" s="123"/>
      <c r="AE18" s="123"/>
      <c r="AF18" s="123"/>
      <c r="AG18" s="104"/>
      <c r="AH18" s="105"/>
      <c r="AI18" s="103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35" t="s">
        <v>233</v>
      </c>
      <c r="AU18" s="136"/>
      <c r="AV18" s="103" t="s">
        <v>233</v>
      </c>
      <c r="AW18" s="104"/>
      <c r="AX18" s="104"/>
      <c r="AY18" s="104"/>
      <c r="AZ18" s="104"/>
      <c r="BA18" s="104" t="s">
        <v>233</v>
      </c>
      <c r="BB18" s="104"/>
      <c r="BC18" s="104"/>
      <c r="BD18" s="104" t="s">
        <v>233</v>
      </c>
      <c r="BE18" s="104"/>
      <c r="BF18" s="104"/>
      <c r="BG18" s="103"/>
      <c r="BH18" s="138"/>
      <c r="BI18" s="104" t="s">
        <v>233</v>
      </c>
      <c r="BJ18" s="136"/>
      <c r="BK18" s="104"/>
      <c r="BL18" s="104" t="s">
        <v>233</v>
      </c>
      <c r="BM18" s="104"/>
      <c r="BN18" s="104"/>
      <c r="BO18" s="104"/>
      <c r="BP18" s="104"/>
      <c r="BQ18" s="104"/>
      <c r="BR18" s="104"/>
      <c r="BS18" s="104"/>
      <c r="BT18" s="104"/>
      <c r="BU18" s="135"/>
      <c r="BV18" s="104"/>
      <c r="BW18" s="104"/>
      <c r="BX18" s="105"/>
      <c r="BY18" s="139"/>
      <c r="BZ18" s="137"/>
      <c r="CA18" s="104"/>
      <c r="CB18" s="104"/>
      <c r="CC18" s="123"/>
      <c r="CD18" s="103"/>
      <c r="CE18" s="104"/>
      <c r="CF18" s="104"/>
      <c r="CG18" s="123"/>
      <c r="CH18" s="123"/>
      <c r="CI18" s="123"/>
      <c r="CJ18" s="123"/>
      <c r="CK18" s="123"/>
      <c r="CL18" s="104"/>
      <c r="CM18" s="153"/>
      <c r="CN18" s="139"/>
      <c r="CO18" s="104" t="s">
        <v>233</v>
      </c>
      <c r="CP18" s="104" t="s">
        <v>233</v>
      </c>
      <c r="CQ18" s="104" t="s">
        <v>233</v>
      </c>
      <c r="CR18" s="104"/>
      <c r="CS18" s="104" t="s">
        <v>233</v>
      </c>
      <c r="CT18" s="104"/>
      <c r="CU18" s="104"/>
      <c r="CV18" s="104"/>
      <c r="CW18" s="104"/>
      <c r="CX18" s="104"/>
      <c r="CY18" s="104"/>
      <c r="CZ18" s="104"/>
      <c r="DA18" s="104"/>
      <c r="DB18" s="135"/>
      <c r="DC18" s="105"/>
    </row>
    <row r="19" spans="2:107" s="102" customFormat="1" ht="31.2" x14ac:dyDescent="0.3">
      <c r="B19" s="108">
        <v>15</v>
      </c>
      <c r="C19" s="36" t="s">
        <v>67</v>
      </c>
      <c r="D19" s="36" t="s">
        <v>68</v>
      </c>
      <c r="E19" s="103"/>
      <c r="F19" s="104"/>
      <c r="G19" s="104"/>
      <c r="H19" s="104" t="s">
        <v>233</v>
      </c>
      <c r="I19" s="104"/>
      <c r="J19" s="123" t="s">
        <v>233</v>
      </c>
      <c r="K19" s="123"/>
      <c r="L19" s="123"/>
      <c r="M19" s="135"/>
      <c r="N19" s="136"/>
      <c r="O19" s="137"/>
      <c r="P19" s="135"/>
      <c r="Q19" s="135"/>
      <c r="R19" s="135"/>
      <c r="S19" s="135"/>
      <c r="T19" s="135"/>
      <c r="U19" s="135"/>
      <c r="V19" s="105"/>
      <c r="W19" s="104"/>
      <c r="X19" s="123"/>
      <c r="Y19" s="123"/>
      <c r="Z19" s="123"/>
      <c r="AA19" s="123" t="s">
        <v>233</v>
      </c>
      <c r="AB19" s="123"/>
      <c r="AC19" s="123" t="s">
        <v>233</v>
      </c>
      <c r="AD19" s="123"/>
      <c r="AE19" s="123"/>
      <c r="AF19" s="123"/>
      <c r="AG19" s="104"/>
      <c r="AH19" s="105"/>
      <c r="AI19" s="103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35"/>
      <c r="AU19" s="136"/>
      <c r="AV19" s="103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 t="s">
        <v>233</v>
      </c>
      <c r="BG19" s="103"/>
      <c r="BH19" s="138"/>
      <c r="BI19" s="104"/>
      <c r="BJ19" s="136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35"/>
      <c r="BV19" s="104"/>
      <c r="BW19" s="104"/>
      <c r="BX19" s="105" t="s">
        <v>233</v>
      </c>
      <c r="BY19" s="139"/>
      <c r="BZ19" s="137"/>
      <c r="CA19" s="104"/>
      <c r="CB19" s="104"/>
      <c r="CC19" s="123"/>
      <c r="CD19" s="103"/>
      <c r="CE19" s="104"/>
      <c r="CF19" s="104"/>
      <c r="CG19" s="123"/>
      <c r="CH19" s="123"/>
      <c r="CI19" s="123"/>
      <c r="CJ19" s="123"/>
      <c r="CK19" s="123"/>
      <c r="CL19" s="104" t="s">
        <v>233</v>
      </c>
      <c r="CM19" s="153" t="s">
        <v>233</v>
      </c>
      <c r="CN19" s="139"/>
      <c r="CO19" s="104" t="s">
        <v>233</v>
      </c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35"/>
      <c r="DC19" s="105"/>
    </row>
    <row r="20" spans="2:107" s="102" customFormat="1" x14ac:dyDescent="0.3">
      <c r="B20" s="108">
        <v>16</v>
      </c>
      <c r="C20" s="36" t="s">
        <v>70</v>
      </c>
      <c r="D20" s="36" t="s">
        <v>71</v>
      </c>
      <c r="E20" s="103"/>
      <c r="F20" s="104"/>
      <c r="G20" s="104" t="s">
        <v>233</v>
      </c>
      <c r="H20" s="104" t="s">
        <v>233</v>
      </c>
      <c r="I20" s="104"/>
      <c r="J20" s="123"/>
      <c r="K20" s="123"/>
      <c r="L20" s="123"/>
      <c r="M20" s="135"/>
      <c r="N20" s="136"/>
      <c r="O20" s="137"/>
      <c r="P20" s="135"/>
      <c r="Q20" s="135"/>
      <c r="R20" s="135"/>
      <c r="S20" s="135"/>
      <c r="T20" s="135"/>
      <c r="U20" s="135"/>
      <c r="V20" s="105"/>
      <c r="W20" s="104"/>
      <c r="X20" s="123"/>
      <c r="Y20" s="123"/>
      <c r="Z20" s="123"/>
      <c r="AA20" s="123"/>
      <c r="AB20" s="123"/>
      <c r="AC20" s="123"/>
      <c r="AD20" s="123"/>
      <c r="AE20" s="123"/>
      <c r="AF20" s="123"/>
      <c r="AG20" s="104"/>
      <c r="AH20" s="105"/>
      <c r="AI20" s="103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35"/>
      <c r="AU20" s="136"/>
      <c r="AV20" s="103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3"/>
      <c r="BH20" s="138"/>
      <c r="BI20" s="104"/>
      <c r="BJ20" s="136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35"/>
      <c r="BV20" s="104"/>
      <c r="BW20" s="104"/>
      <c r="BX20" s="105"/>
      <c r="BY20" s="139"/>
      <c r="BZ20" s="137"/>
      <c r="CA20" s="104"/>
      <c r="CB20" s="104"/>
      <c r="CC20" s="123"/>
      <c r="CD20" s="103"/>
      <c r="CE20" s="104"/>
      <c r="CF20" s="104"/>
      <c r="CG20" s="123"/>
      <c r="CH20" s="123"/>
      <c r="CI20" s="123"/>
      <c r="CJ20" s="123"/>
      <c r="CK20" s="123"/>
      <c r="CL20" s="104"/>
      <c r="CM20" s="153"/>
      <c r="CN20" s="139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35"/>
      <c r="DC20" s="105"/>
    </row>
    <row r="21" spans="2:107" s="102" customFormat="1" ht="31.2" x14ac:dyDescent="0.3">
      <c r="B21" s="108">
        <v>17</v>
      </c>
      <c r="C21" s="36" t="s">
        <v>74</v>
      </c>
      <c r="D21" s="36" t="s">
        <v>75</v>
      </c>
      <c r="E21" s="103"/>
      <c r="F21" s="104"/>
      <c r="G21" s="104"/>
      <c r="H21" s="104" t="s">
        <v>233</v>
      </c>
      <c r="I21" s="104" t="s">
        <v>233</v>
      </c>
      <c r="J21" s="123" t="s">
        <v>233</v>
      </c>
      <c r="K21" s="123"/>
      <c r="L21" s="123"/>
      <c r="M21" s="135"/>
      <c r="N21" s="136"/>
      <c r="O21" s="137"/>
      <c r="P21" s="135"/>
      <c r="Q21" s="135"/>
      <c r="R21" s="135"/>
      <c r="S21" s="135"/>
      <c r="T21" s="135"/>
      <c r="U21" s="135"/>
      <c r="V21" s="105"/>
      <c r="W21" s="104"/>
      <c r="X21" s="123"/>
      <c r="Y21" s="123"/>
      <c r="Z21" s="123"/>
      <c r="AA21" s="123"/>
      <c r="AB21" s="123"/>
      <c r="AC21" s="123" t="s">
        <v>233</v>
      </c>
      <c r="AD21" s="123"/>
      <c r="AE21" s="123"/>
      <c r="AF21" s="123"/>
      <c r="AG21" s="104"/>
      <c r="AH21" s="105"/>
      <c r="AI21" s="103"/>
      <c r="AJ21" s="104"/>
      <c r="AK21" s="104"/>
      <c r="AL21" s="104"/>
      <c r="AM21" s="104"/>
      <c r="AN21" s="104"/>
      <c r="AO21" s="104"/>
      <c r="AP21" s="104"/>
      <c r="AQ21" s="104"/>
      <c r="AR21" s="104" t="s">
        <v>233</v>
      </c>
      <c r="AS21" s="104" t="s">
        <v>233</v>
      </c>
      <c r="AT21" s="135"/>
      <c r="AU21" s="136"/>
      <c r="AV21" s="103"/>
      <c r="AW21" s="104"/>
      <c r="AX21" s="104"/>
      <c r="AY21" s="104"/>
      <c r="AZ21" s="104" t="s">
        <v>233</v>
      </c>
      <c r="BA21" s="104"/>
      <c r="BB21" s="104"/>
      <c r="BC21" s="104"/>
      <c r="BD21" s="104"/>
      <c r="BE21" s="104"/>
      <c r="BF21" s="104"/>
      <c r="BG21" s="103"/>
      <c r="BH21" s="138"/>
      <c r="BI21" s="104"/>
      <c r="BJ21" s="136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35"/>
      <c r="BV21" s="104"/>
      <c r="BW21" s="104"/>
      <c r="BX21" s="105"/>
      <c r="BY21" s="139"/>
      <c r="BZ21" s="137"/>
      <c r="CA21" s="104"/>
      <c r="CB21" s="104"/>
      <c r="CC21" s="123" t="s">
        <v>233</v>
      </c>
      <c r="CD21" s="103"/>
      <c r="CE21" s="104"/>
      <c r="CF21" s="104"/>
      <c r="CG21" s="123"/>
      <c r="CH21" s="123"/>
      <c r="CI21" s="123"/>
      <c r="CJ21" s="123"/>
      <c r="CK21" s="123"/>
      <c r="CL21" s="104"/>
      <c r="CM21" s="153"/>
      <c r="CN21" s="139"/>
      <c r="CO21" s="104" t="s">
        <v>233</v>
      </c>
      <c r="CP21" s="104"/>
      <c r="CQ21" s="104"/>
      <c r="CR21" s="104"/>
      <c r="CS21" s="104"/>
      <c r="CT21" s="104"/>
      <c r="CU21" s="104"/>
      <c r="CV21" s="104"/>
      <c r="CW21" s="104"/>
      <c r="CX21" s="104"/>
      <c r="CY21" s="104"/>
      <c r="CZ21" s="104"/>
      <c r="DA21" s="104"/>
      <c r="DB21" s="135"/>
      <c r="DC21" s="105"/>
    </row>
    <row r="22" spans="2:107" s="102" customFormat="1" ht="46.8" x14ac:dyDescent="0.3">
      <c r="B22" s="108">
        <v>18</v>
      </c>
      <c r="C22" s="36" t="s">
        <v>77</v>
      </c>
      <c r="D22" s="36" t="s">
        <v>78</v>
      </c>
      <c r="E22" s="103"/>
      <c r="F22" s="104" t="s">
        <v>233</v>
      </c>
      <c r="G22" s="104" t="s">
        <v>233</v>
      </c>
      <c r="H22" s="104" t="s">
        <v>233</v>
      </c>
      <c r="I22" s="104"/>
      <c r="J22" s="123"/>
      <c r="K22" s="123"/>
      <c r="L22" s="123"/>
      <c r="M22" s="135"/>
      <c r="N22" s="136"/>
      <c r="O22" s="137" t="s">
        <v>233</v>
      </c>
      <c r="P22" s="135"/>
      <c r="Q22" s="135"/>
      <c r="R22" s="135"/>
      <c r="S22" s="135"/>
      <c r="T22" s="135"/>
      <c r="U22" s="135"/>
      <c r="V22" s="105"/>
      <c r="W22" s="104"/>
      <c r="X22" s="123"/>
      <c r="Y22" s="123"/>
      <c r="Z22" s="123"/>
      <c r="AA22" s="123"/>
      <c r="AB22" s="123"/>
      <c r="AC22" s="123"/>
      <c r="AD22" s="123"/>
      <c r="AE22" s="123"/>
      <c r="AF22" s="123"/>
      <c r="AG22" s="104"/>
      <c r="AH22" s="105"/>
      <c r="AI22" s="103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35"/>
      <c r="AU22" s="136"/>
      <c r="AV22" s="103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3"/>
      <c r="BH22" s="138"/>
      <c r="BI22" s="104"/>
      <c r="BJ22" s="136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35"/>
      <c r="BV22" s="104"/>
      <c r="BW22" s="104"/>
      <c r="BX22" s="105"/>
      <c r="BY22" s="139"/>
      <c r="BZ22" s="137"/>
      <c r="CA22" s="104"/>
      <c r="CB22" s="104"/>
      <c r="CC22" s="123"/>
      <c r="CD22" s="103"/>
      <c r="CE22" s="104"/>
      <c r="CF22" s="104"/>
      <c r="CG22" s="123"/>
      <c r="CH22" s="123"/>
      <c r="CI22" s="123"/>
      <c r="CJ22" s="123"/>
      <c r="CK22" s="123"/>
      <c r="CL22" s="104"/>
      <c r="CM22" s="153"/>
      <c r="CN22" s="139"/>
      <c r="CO22" s="104"/>
      <c r="CP22" s="104"/>
      <c r="CQ22" s="104"/>
      <c r="CR22" s="104"/>
      <c r="CS22" s="104"/>
      <c r="CT22" s="104"/>
      <c r="CU22" s="104"/>
      <c r="CV22" s="104"/>
      <c r="CW22" s="104"/>
      <c r="CX22" s="104"/>
      <c r="CY22" s="104"/>
      <c r="CZ22" s="104"/>
      <c r="DA22" s="104"/>
      <c r="DB22" s="135"/>
      <c r="DC22" s="105"/>
    </row>
    <row r="23" spans="2:107" s="102" customFormat="1" ht="31.2" x14ac:dyDescent="0.3">
      <c r="B23" s="108">
        <v>19</v>
      </c>
      <c r="C23" s="36" t="s">
        <v>80</v>
      </c>
      <c r="D23" s="36" t="s">
        <v>81</v>
      </c>
      <c r="E23" s="103"/>
      <c r="F23" s="104" t="s">
        <v>233</v>
      </c>
      <c r="G23" s="104" t="s">
        <v>233</v>
      </c>
      <c r="H23" s="104" t="s">
        <v>233</v>
      </c>
      <c r="I23" s="104"/>
      <c r="J23" s="123"/>
      <c r="K23" s="123"/>
      <c r="L23" s="123"/>
      <c r="M23" s="135"/>
      <c r="N23" s="136"/>
      <c r="O23" s="137"/>
      <c r="P23" s="135"/>
      <c r="Q23" s="135"/>
      <c r="R23" s="135"/>
      <c r="S23" s="135"/>
      <c r="T23" s="135"/>
      <c r="U23" s="135" t="s">
        <v>233</v>
      </c>
      <c r="V23" s="105"/>
      <c r="W23" s="104"/>
      <c r="X23" s="123"/>
      <c r="Y23" s="123"/>
      <c r="Z23" s="123"/>
      <c r="AA23" s="123"/>
      <c r="AB23" s="123"/>
      <c r="AC23" s="123"/>
      <c r="AD23" s="123"/>
      <c r="AE23" s="123"/>
      <c r="AF23" s="123"/>
      <c r="AG23" s="104"/>
      <c r="AH23" s="105"/>
      <c r="AI23" s="103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35"/>
      <c r="AU23" s="136"/>
      <c r="AV23" s="103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3"/>
      <c r="BH23" s="138"/>
      <c r="BI23" s="104"/>
      <c r="BJ23" s="136"/>
      <c r="BK23" s="104" t="s">
        <v>233</v>
      </c>
      <c r="BL23" s="104"/>
      <c r="BM23" s="104"/>
      <c r="BN23" s="104"/>
      <c r="BO23" s="104"/>
      <c r="BP23" s="104"/>
      <c r="BQ23" s="104"/>
      <c r="BR23" s="104"/>
      <c r="BS23" s="104"/>
      <c r="BT23" s="104"/>
      <c r="BU23" s="135"/>
      <c r="BV23" s="104"/>
      <c r="BW23" s="104"/>
      <c r="BX23" s="105"/>
      <c r="BY23" s="139"/>
      <c r="BZ23" s="137"/>
      <c r="CA23" s="104"/>
      <c r="CB23" s="104"/>
      <c r="CC23" s="123"/>
      <c r="CD23" s="103"/>
      <c r="CE23" s="104"/>
      <c r="CF23" s="104"/>
      <c r="CG23" s="123"/>
      <c r="CH23" s="123"/>
      <c r="CI23" s="123"/>
      <c r="CJ23" s="123"/>
      <c r="CK23" s="123"/>
      <c r="CL23" s="104"/>
      <c r="CM23" s="153"/>
      <c r="CN23" s="139"/>
      <c r="CO23" s="104"/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35"/>
      <c r="DC23" s="105"/>
    </row>
    <row r="24" spans="2:107" s="102" customFormat="1" ht="31.2" x14ac:dyDescent="0.3">
      <c r="B24" s="108">
        <v>20</v>
      </c>
      <c r="C24" s="36" t="s">
        <v>83</v>
      </c>
      <c r="D24" s="36" t="s">
        <v>84</v>
      </c>
      <c r="E24" s="103"/>
      <c r="F24" s="104"/>
      <c r="G24" s="104"/>
      <c r="H24" s="104" t="s">
        <v>233</v>
      </c>
      <c r="I24" s="104"/>
      <c r="J24" s="123"/>
      <c r="K24" s="123"/>
      <c r="L24" s="123"/>
      <c r="M24" s="135"/>
      <c r="N24" s="136"/>
      <c r="O24" s="137"/>
      <c r="P24" s="135"/>
      <c r="Q24" s="135"/>
      <c r="R24" s="135"/>
      <c r="S24" s="135"/>
      <c r="T24" s="135"/>
      <c r="U24" s="135"/>
      <c r="V24" s="105"/>
      <c r="W24" s="104"/>
      <c r="X24" s="123" t="s">
        <v>233</v>
      </c>
      <c r="Y24" s="123"/>
      <c r="Z24" s="123"/>
      <c r="AA24" s="123"/>
      <c r="AB24" s="123"/>
      <c r="AC24" s="123"/>
      <c r="AD24" s="123"/>
      <c r="AE24" s="123"/>
      <c r="AF24" s="123"/>
      <c r="AG24" s="104"/>
      <c r="AH24" s="105"/>
      <c r="AI24" s="103"/>
      <c r="AJ24" s="104"/>
      <c r="AK24" s="104" t="s">
        <v>233</v>
      </c>
      <c r="AL24" s="104"/>
      <c r="AM24" s="104"/>
      <c r="AN24" s="104"/>
      <c r="AO24" s="104"/>
      <c r="AP24" s="104"/>
      <c r="AQ24" s="104" t="s">
        <v>233</v>
      </c>
      <c r="AR24" s="104"/>
      <c r="AS24" s="104"/>
      <c r="AT24" s="135"/>
      <c r="AU24" s="136" t="s">
        <v>233</v>
      </c>
      <c r="AV24" s="103"/>
      <c r="AW24" s="104" t="s">
        <v>233</v>
      </c>
      <c r="AX24" s="104" t="s">
        <v>233</v>
      </c>
      <c r="AY24" s="104" t="s">
        <v>233</v>
      </c>
      <c r="AZ24" s="104"/>
      <c r="BA24" s="104"/>
      <c r="BB24" s="104"/>
      <c r="BC24" s="104"/>
      <c r="BD24" s="104"/>
      <c r="BE24" s="104"/>
      <c r="BF24" s="104"/>
      <c r="BG24" s="103"/>
      <c r="BH24" s="138"/>
      <c r="BI24" s="104"/>
      <c r="BJ24" s="136"/>
      <c r="BK24" s="104" t="s">
        <v>233</v>
      </c>
      <c r="BL24" s="104"/>
      <c r="BM24" s="104"/>
      <c r="BN24" s="104"/>
      <c r="BO24" s="104"/>
      <c r="BP24" s="104"/>
      <c r="BQ24" s="104"/>
      <c r="BR24" s="104"/>
      <c r="BS24" s="104"/>
      <c r="BT24" s="104"/>
      <c r="BU24" s="135"/>
      <c r="BV24" s="104"/>
      <c r="BW24" s="104"/>
      <c r="BX24" s="105"/>
      <c r="BY24" s="139"/>
      <c r="BZ24" s="137"/>
      <c r="CA24" s="104"/>
      <c r="CB24" s="104"/>
      <c r="CC24" s="123"/>
      <c r="CD24" s="103"/>
      <c r="CE24" s="104"/>
      <c r="CF24" s="104"/>
      <c r="CG24" s="123"/>
      <c r="CH24" s="123"/>
      <c r="CI24" s="123"/>
      <c r="CJ24" s="123"/>
      <c r="CK24" s="123"/>
      <c r="CL24" s="104"/>
      <c r="CM24" s="153"/>
      <c r="CN24" s="139"/>
      <c r="CO24" s="104" t="s">
        <v>233</v>
      </c>
      <c r="CP24" s="104"/>
      <c r="CQ24" s="104"/>
      <c r="CR24" s="104"/>
      <c r="CS24" s="104"/>
      <c r="CT24" s="104"/>
      <c r="CU24" s="104"/>
      <c r="CV24" s="104"/>
      <c r="CW24" s="104"/>
      <c r="CX24" s="104"/>
      <c r="CY24" s="104"/>
      <c r="CZ24" s="104"/>
      <c r="DA24" s="104"/>
      <c r="DB24" s="135"/>
      <c r="DC24" s="105"/>
    </row>
    <row r="25" spans="2:107" s="102" customFormat="1" ht="31.2" x14ac:dyDescent="0.3">
      <c r="B25" s="118">
        <v>21</v>
      </c>
      <c r="C25" s="36" t="s">
        <v>86</v>
      </c>
      <c r="D25" s="36" t="s">
        <v>87</v>
      </c>
      <c r="E25" s="103"/>
      <c r="F25" s="104" t="s">
        <v>233</v>
      </c>
      <c r="G25" s="104"/>
      <c r="H25" s="104" t="s">
        <v>233</v>
      </c>
      <c r="I25" s="104"/>
      <c r="J25" s="123" t="s">
        <v>233</v>
      </c>
      <c r="K25" s="123" t="s">
        <v>233</v>
      </c>
      <c r="L25" s="123"/>
      <c r="M25" s="135"/>
      <c r="N25" s="136"/>
      <c r="O25" s="137"/>
      <c r="P25" s="135"/>
      <c r="Q25" s="135"/>
      <c r="R25" s="135"/>
      <c r="S25" s="135"/>
      <c r="T25" s="135"/>
      <c r="U25" s="135"/>
      <c r="V25" s="105"/>
      <c r="W25" s="104"/>
      <c r="X25" s="123"/>
      <c r="Y25" s="123"/>
      <c r="Z25" s="123"/>
      <c r="AA25" s="123"/>
      <c r="AB25" s="123"/>
      <c r="AC25" s="123"/>
      <c r="AD25" s="123"/>
      <c r="AE25" s="123"/>
      <c r="AF25" s="123"/>
      <c r="AG25" s="104"/>
      <c r="AH25" s="105"/>
      <c r="AI25" s="103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35"/>
      <c r="AU25" s="136"/>
      <c r="AV25" s="103"/>
      <c r="AW25" s="104"/>
      <c r="AX25" s="104"/>
      <c r="AY25" s="104"/>
      <c r="AZ25" s="104"/>
      <c r="BA25" s="104"/>
      <c r="BB25" s="104"/>
      <c r="BC25" s="104" t="s">
        <v>233</v>
      </c>
      <c r="BD25" s="104"/>
      <c r="BE25" s="104"/>
      <c r="BF25" s="104"/>
      <c r="BG25" s="103"/>
      <c r="BH25" s="138"/>
      <c r="BI25" s="104"/>
      <c r="BJ25" s="136" t="s">
        <v>233</v>
      </c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35"/>
      <c r="BV25" s="104"/>
      <c r="BW25" s="104"/>
      <c r="BX25" s="105"/>
      <c r="BY25" s="139"/>
      <c r="BZ25" s="137"/>
      <c r="CA25" s="104"/>
      <c r="CB25" s="104"/>
      <c r="CC25" s="123"/>
      <c r="CD25" s="103"/>
      <c r="CE25" s="104"/>
      <c r="CF25" s="104"/>
      <c r="CG25" s="123"/>
      <c r="CH25" s="123"/>
      <c r="CI25" s="123"/>
      <c r="CJ25" s="123"/>
      <c r="CK25" s="123"/>
      <c r="CL25" s="104"/>
      <c r="CM25" s="153"/>
      <c r="CN25" s="139"/>
      <c r="CO25" s="104"/>
      <c r="CP25" s="104"/>
      <c r="CQ25" s="104"/>
      <c r="CR25" s="104"/>
      <c r="CS25" s="104"/>
      <c r="CT25" s="104" t="s">
        <v>233</v>
      </c>
      <c r="CU25" s="104" t="s">
        <v>233</v>
      </c>
      <c r="CV25" s="104"/>
      <c r="CW25" s="104"/>
      <c r="CX25" s="104"/>
      <c r="CY25" s="104"/>
      <c r="CZ25" s="104"/>
      <c r="DA25" s="104"/>
      <c r="DB25" s="135"/>
      <c r="DC25" s="105"/>
    </row>
    <row r="26" spans="2:107" s="102" customFormat="1" ht="31.2" x14ac:dyDescent="0.3">
      <c r="B26" s="108">
        <v>22</v>
      </c>
      <c r="C26" s="36" t="s">
        <v>89</v>
      </c>
      <c r="D26" s="36" t="s">
        <v>90</v>
      </c>
      <c r="E26" s="103"/>
      <c r="F26" s="104" t="s">
        <v>233</v>
      </c>
      <c r="G26" s="104"/>
      <c r="H26" s="104"/>
      <c r="I26" s="104"/>
      <c r="J26" s="123"/>
      <c r="K26" s="123"/>
      <c r="L26" s="123"/>
      <c r="M26" s="135"/>
      <c r="N26" s="136"/>
      <c r="O26" s="137"/>
      <c r="P26" s="135"/>
      <c r="Q26" s="135"/>
      <c r="R26" s="135"/>
      <c r="S26" s="135"/>
      <c r="T26" s="135"/>
      <c r="U26" s="135" t="s">
        <v>233</v>
      </c>
      <c r="V26" s="105"/>
      <c r="W26" s="104"/>
      <c r="X26" s="123"/>
      <c r="Y26" s="123"/>
      <c r="Z26" s="123"/>
      <c r="AA26" s="123"/>
      <c r="AB26" s="123"/>
      <c r="AC26" s="123"/>
      <c r="AD26" s="123"/>
      <c r="AE26" s="123"/>
      <c r="AF26" s="123"/>
      <c r="AG26" s="104"/>
      <c r="AH26" s="105"/>
      <c r="AI26" s="103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35"/>
      <c r="AU26" s="136"/>
      <c r="AV26" s="103"/>
      <c r="AW26" s="104"/>
      <c r="AX26" s="104"/>
      <c r="AY26" s="104"/>
      <c r="AZ26" s="104" t="s">
        <v>233</v>
      </c>
      <c r="BA26" s="104"/>
      <c r="BB26" s="104"/>
      <c r="BC26" s="104"/>
      <c r="BD26" s="104"/>
      <c r="BE26" s="104"/>
      <c r="BF26" s="104"/>
      <c r="BG26" s="103"/>
      <c r="BH26" s="138"/>
      <c r="BI26" s="104"/>
      <c r="BJ26" s="136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35"/>
      <c r="BV26" s="104"/>
      <c r="BW26" s="104"/>
      <c r="BX26" s="105"/>
      <c r="BY26" s="139"/>
      <c r="BZ26" s="137"/>
      <c r="CA26" s="104"/>
      <c r="CB26" s="104"/>
      <c r="CC26" s="123"/>
      <c r="CD26" s="103"/>
      <c r="CE26" s="104"/>
      <c r="CF26" s="104"/>
      <c r="CG26" s="123"/>
      <c r="CH26" s="123"/>
      <c r="CI26" s="123"/>
      <c r="CJ26" s="123"/>
      <c r="CK26" s="123"/>
      <c r="CL26" s="104"/>
      <c r="CM26" s="153"/>
      <c r="CN26" s="139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35"/>
      <c r="DC26" s="105"/>
    </row>
    <row r="27" spans="2:107" s="102" customFormat="1" ht="46.8" x14ac:dyDescent="0.3">
      <c r="B27" s="108">
        <v>24</v>
      </c>
      <c r="C27" s="36" t="s">
        <v>92</v>
      </c>
      <c r="D27" s="36" t="s">
        <v>93</v>
      </c>
      <c r="E27" s="103" t="s">
        <v>233</v>
      </c>
      <c r="F27" s="104"/>
      <c r="G27" s="104" t="s">
        <v>233</v>
      </c>
      <c r="H27" s="104" t="s">
        <v>233</v>
      </c>
      <c r="I27" s="104"/>
      <c r="J27" s="123"/>
      <c r="K27" s="123"/>
      <c r="L27" s="123"/>
      <c r="M27" s="135"/>
      <c r="N27" s="136"/>
      <c r="O27" s="137"/>
      <c r="P27" s="135"/>
      <c r="Q27" s="135"/>
      <c r="R27" s="135"/>
      <c r="S27" s="135"/>
      <c r="T27" s="135"/>
      <c r="U27" s="135"/>
      <c r="V27" s="105"/>
      <c r="W27" s="104"/>
      <c r="X27" s="123"/>
      <c r="Y27" s="123"/>
      <c r="Z27" s="123"/>
      <c r="AA27" s="123"/>
      <c r="AB27" s="123"/>
      <c r="AC27" s="123"/>
      <c r="AD27" s="123"/>
      <c r="AE27" s="123"/>
      <c r="AF27" s="123"/>
      <c r="AG27" s="104"/>
      <c r="AH27" s="105"/>
      <c r="AI27" s="103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35"/>
      <c r="AU27" s="136"/>
      <c r="AV27" s="103"/>
      <c r="AW27" s="104" t="s">
        <v>233</v>
      </c>
      <c r="AX27" s="104"/>
      <c r="AY27" s="104"/>
      <c r="AZ27" s="104"/>
      <c r="BA27" s="104"/>
      <c r="BB27" s="104"/>
      <c r="BC27" s="104"/>
      <c r="BD27" s="104"/>
      <c r="BE27" s="104"/>
      <c r="BF27" s="104"/>
      <c r="BG27" s="103"/>
      <c r="BH27" s="138"/>
      <c r="BI27" s="104"/>
      <c r="BJ27" s="136"/>
      <c r="BK27" s="104" t="s">
        <v>233</v>
      </c>
      <c r="BL27" s="104"/>
      <c r="BM27" s="104"/>
      <c r="BN27" s="104"/>
      <c r="BO27" s="104"/>
      <c r="BP27" s="104"/>
      <c r="BQ27" s="104"/>
      <c r="BR27" s="104"/>
      <c r="BS27" s="104"/>
      <c r="BT27" s="104"/>
      <c r="BU27" s="135"/>
      <c r="BV27" s="104"/>
      <c r="BW27" s="104"/>
      <c r="BX27" s="105"/>
      <c r="BY27" s="139"/>
      <c r="BZ27" s="137" t="s">
        <v>233</v>
      </c>
      <c r="CA27" s="104"/>
      <c r="CB27" s="104"/>
      <c r="CC27" s="123" t="s">
        <v>233</v>
      </c>
      <c r="CD27" s="103" t="s">
        <v>233</v>
      </c>
      <c r="CE27" s="104"/>
      <c r="CF27" s="104"/>
      <c r="CG27" s="123"/>
      <c r="CH27" s="123"/>
      <c r="CI27" s="123"/>
      <c r="CJ27" s="123"/>
      <c r="CK27" s="123"/>
      <c r="CL27" s="104"/>
      <c r="CM27" s="153"/>
      <c r="CN27" s="139" t="s">
        <v>233</v>
      </c>
      <c r="CO27" s="104" t="s">
        <v>233</v>
      </c>
      <c r="CP27" s="104" t="s">
        <v>233</v>
      </c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 t="s">
        <v>233</v>
      </c>
      <c r="DB27" s="135"/>
      <c r="DC27" s="105"/>
    </row>
    <row r="28" spans="2:107" s="102" customFormat="1" ht="31.2" x14ac:dyDescent="0.3">
      <c r="B28" s="108">
        <v>25</v>
      </c>
      <c r="C28" s="36" t="s">
        <v>95</v>
      </c>
      <c r="D28" s="36" t="s">
        <v>93</v>
      </c>
      <c r="E28" s="103" t="s">
        <v>233</v>
      </c>
      <c r="F28" s="104"/>
      <c r="G28" s="104"/>
      <c r="H28" s="104"/>
      <c r="I28" s="104"/>
      <c r="J28" s="123"/>
      <c r="K28" s="123"/>
      <c r="L28" s="123"/>
      <c r="M28" s="135"/>
      <c r="N28" s="136"/>
      <c r="O28" s="137"/>
      <c r="P28" s="135"/>
      <c r="Q28" s="135"/>
      <c r="R28" s="135"/>
      <c r="S28" s="135"/>
      <c r="T28" s="135"/>
      <c r="U28" s="135"/>
      <c r="V28" s="105" t="s">
        <v>233</v>
      </c>
      <c r="W28" s="104"/>
      <c r="X28" s="123"/>
      <c r="Y28" s="123"/>
      <c r="Z28" s="123"/>
      <c r="AA28" s="123"/>
      <c r="AB28" s="123"/>
      <c r="AC28" s="123"/>
      <c r="AD28" s="123"/>
      <c r="AE28" s="123"/>
      <c r="AF28" s="123"/>
      <c r="AG28" s="104"/>
      <c r="AH28" s="105"/>
      <c r="AI28" s="103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35"/>
      <c r="AU28" s="136"/>
      <c r="AV28" s="103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3"/>
      <c r="BH28" s="138"/>
      <c r="BI28" s="104"/>
      <c r="BJ28" s="136"/>
      <c r="BK28" s="104"/>
      <c r="BL28" s="104" t="s">
        <v>233</v>
      </c>
      <c r="BM28" s="104"/>
      <c r="BN28" s="104"/>
      <c r="BO28" s="104"/>
      <c r="BP28" s="104"/>
      <c r="BQ28" s="104"/>
      <c r="BR28" s="104"/>
      <c r="BS28" s="104"/>
      <c r="BT28" s="104"/>
      <c r="BU28" s="135"/>
      <c r="BV28" s="104"/>
      <c r="BW28" s="104"/>
      <c r="BX28" s="105"/>
      <c r="BY28" s="139"/>
      <c r="BZ28" s="137"/>
      <c r="CA28" s="104"/>
      <c r="CB28" s="104"/>
      <c r="CC28" s="123"/>
      <c r="CD28" s="103"/>
      <c r="CE28" s="104"/>
      <c r="CF28" s="104"/>
      <c r="CG28" s="123"/>
      <c r="CH28" s="123"/>
      <c r="CI28" s="123"/>
      <c r="CJ28" s="123"/>
      <c r="CK28" s="123"/>
      <c r="CL28" s="104"/>
      <c r="CM28" s="153"/>
      <c r="CN28" s="139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 t="s">
        <v>233</v>
      </c>
      <c r="DB28" s="135"/>
      <c r="DC28" s="105"/>
    </row>
    <row r="29" spans="2:107" s="102" customFormat="1" ht="46.8" x14ac:dyDescent="0.3">
      <c r="B29" s="108">
        <v>26</v>
      </c>
      <c r="C29" s="36" t="s">
        <v>97</v>
      </c>
      <c r="D29" s="36" t="s">
        <v>90</v>
      </c>
      <c r="E29" s="103"/>
      <c r="F29" s="104" t="s">
        <v>233</v>
      </c>
      <c r="G29" s="104"/>
      <c r="H29" s="104"/>
      <c r="I29" s="104"/>
      <c r="J29" s="123"/>
      <c r="K29" s="123"/>
      <c r="L29" s="123"/>
      <c r="M29" s="135"/>
      <c r="N29" s="136"/>
      <c r="O29" s="137"/>
      <c r="P29" s="135"/>
      <c r="Q29" s="135"/>
      <c r="R29" s="135"/>
      <c r="S29" s="135"/>
      <c r="T29" s="135"/>
      <c r="U29" s="135" t="s">
        <v>233</v>
      </c>
      <c r="V29" s="105"/>
      <c r="W29" s="104"/>
      <c r="X29" s="123"/>
      <c r="Y29" s="123"/>
      <c r="Z29" s="123"/>
      <c r="AA29" s="123"/>
      <c r="AB29" s="123"/>
      <c r="AC29" s="123"/>
      <c r="AD29" s="123"/>
      <c r="AE29" s="123"/>
      <c r="AF29" s="123"/>
      <c r="AG29" s="104"/>
      <c r="AH29" s="105"/>
      <c r="AI29" s="103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35"/>
      <c r="AU29" s="136"/>
      <c r="AV29" s="103"/>
      <c r="AW29" s="104"/>
      <c r="AX29" s="104"/>
      <c r="AY29" s="104"/>
      <c r="AZ29" s="104" t="s">
        <v>233</v>
      </c>
      <c r="BA29" s="104"/>
      <c r="BB29" s="104"/>
      <c r="BC29" s="104"/>
      <c r="BD29" s="104"/>
      <c r="BE29" s="104"/>
      <c r="BF29" s="104"/>
      <c r="BG29" s="103"/>
      <c r="BH29" s="138"/>
      <c r="BI29" s="104"/>
      <c r="BJ29" s="136"/>
      <c r="BK29" s="104"/>
      <c r="BL29" s="104" t="s">
        <v>233</v>
      </c>
      <c r="BM29" s="104"/>
      <c r="BN29" s="104"/>
      <c r="BO29" s="104"/>
      <c r="BP29" s="104"/>
      <c r="BQ29" s="104"/>
      <c r="BR29" s="104"/>
      <c r="BS29" s="104"/>
      <c r="BT29" s="104"/>
      <c r="BU29" s="135"/>
      <c r="BV29" s="104"/>
      <c r="BW29" s="104"/>
      <c r="BX29" s="105"/>
      <c r="BY29" s="139"/>
      <c r="BZ29" s="137"/>
      <c r="CA29" s="104"/>
      <c r="CB29" s="104"/>
      <c r="CC29" s="123"/>
      <c r="CD29" s="103"/>
      <c r="CE29" s="104"/>
      <c r="CF29" s="104"/>
      <c r="CG29" s="123"/>
      <c r="CH29" s="123"/>
      <c r="CI29" s="123"/>
      <c r="CJ29" s="123"/>
      <c r="CK29" s="123"/>
      <c r="CL29" s="104"/>
      <c r="CM29" s="153"/>
      <c r="CN29" s="139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35"/>
      <c r="DC29" s="105"/>
    </row>
    <row r="30" spans="2:107" s="102" customFormat="1" x14ac:dyDescent="0.3">
      <c r="B30" s="108">
        <v>28</v>
      </c>
      <c r="C30" s="36" t="s">
        <v>99</v>
      </c>
      <c r="D30" s="36" t="s">
        <v>71</v>
      </c>
      <c r="E30" s="103"/>
      <c r="F30" s="104"/>
      <c r="G30" s="104" t="s">
        <v>233</v>
      </c>
      <c r="H30" s="104"/>
      <c r="I30" s="104"/>
      <c r="J30" s="123"/>
      <c r="K30" s="123"/>
      <c r="L30" s="123"/>
      <c r="M30" s="135"/>
      <c r="N30" s="136"/>
      <c r="O30" s="137"/>
      <c r="P30" s="135"/>
      <c r="Q30" s="135"/>
      <c r="R30" s="135"/>
      <c r="S30" s="135"/>
      <c r="T30" s="135"/>
      <c r="U30" s="135"/>
      <c r="V30" s="105"/>
      <c r="W30" s="104"/>
      <c r="X30" s="123"/>
      <c r="Y30" s="123"/>
      <c r="Z30" s="123"/>
      <c r="AA30" s="123"/>
      <c r="AB30" s="123"/>
      <c r="AC30" s="123"/>
      <c r="AD30" s="123"/>
      <c r="AE30" s="123"/>
      <c r="AF30" s="123"/>
      <c r="AG30" s="104"/>
      <c r="AH30" s="105"/>
      <c r="AI30" s="103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35"/>
      <c r="AU30" s="136"/>
      <c r="AV30" s="103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3"/>
      <c r="BH30" s="138"/>
      <c r="BI30" s="104"/>
      <c r="BJ30" s="136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35"/>
      <c r="BV30" s="104"/>
      <c r="BW30" s="104"/>
      <c r="BX30" s="105"/>
      <c r="BY30" s="139"/>
      <c r="BZ30" s="137"/>
      <c r="CA30" s="104"/>
      <c r="CB30" s="104"/>
      <c r="CC30" s="123"/>
      <c r="CD30" s="103"/>
      <c r="CE30" s="104"/>
      <c r="CF30" s="104"/>
      <c r="CG30" s="123"/>
      <c r="CH30" s="123"/>
      <c r="CI30" s="123"/>
      <c r="CJ30" s="123"/>
      <c r="CK30" s="123"/>
      <c r="CL30" s="104"/>
      <c r="CM30" s="153"/>
      <c r="CN30" s="139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35"/>
      <c r="DC30" s="105"/>
    </row>
    <row r="31" spans="2:107" s="102" customFormat="1" ht="46.8" x14ac:dyDescent="0.3">
      <c r="B31" s="108">
        <v>29</v>
      </c>
      <c r="C31" s="36" t="s">
        <v>101</v>
      </c>
      <c r="D31" s="36" t="s">
        <v>102</v>
      </c>
      <c r="E31" s="103"/>
      <c r="F31" s="104" t="s">
        <v>233</v>
      </c>
      <c r="G31" s="104"/>
      <c r="H31" s="104" t="s">
        <v>233</v>
      </c>
      <c r="I31" s="104"/>
      <c r="J31" s="123" t="s">
        <v>233</v>
      </c>
      <c r="K31" s="123"/>
      <c r="L31" s="123"/>
      <c r="M31" s="135"/>
      <c r="N31" s="136"/>
      <c r="O31" s="137"/>
      <c r="P31" s="135"/>
      <c r="Q31" s="135"/>
      <c r="R31" s="135"/>
      <c r="S31" s="135"/>
      <c r="T31" s="135"/>
      <c r="U31" s="135"/>
      <c r="V31" s="105"/>
      <c r="W31" s="104"/>
      <c r="X31" s="123"/>
      <c r="Y31" s="123"/>
      <c r="Z31" s="123"/>
      <c r="AA31" s="123"/>
      <c r="AB31" s="123"/>
      <c r="AC31" s="123"/>
      <c r="AD31" s="123"/>
      <c r="AE31" s="123"/>
      <c r="AF31" s="123"/>
      <c r="AG31" s="104"/>
      <c r="AH31" s="105"/>
      <c r="AI31" s="103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35"/>
      <c r="AU31" s="136"/>
      <c r="AV31" s="103"/>
      <c r="AW31" s="104"/>
      <c r="AX31" s="104" t="s">
        <v>233</v>
      </c>
      <c r="AY31" s="104"/>
      <c r="AZ31" s="104"/>
      <c r="BA31" s="104"/>
      <c r="BB31" s="104"/>
      <c r="BC31" s="104" t="s">
        <v>233</v>
      </c>
      <c r="BD31" s="104"/>
      <c r="BE31" s="104"/>
      <c r="BF31" s="104"/>
      <c r="BG31" s="103"/>
      <c r="BH31" s="138"/>
      <c r="BI31" s="104"/>
      <c r="BJ31" s="136"/>
      <c r="BK31" s="104"/>
      <c r="BL31" s="104" t="s">
        <v>233</v>
      </c>
      <c r="BM31" s="104"/>
      <c r="BN31" s="104"/>
      <c r="BO31" s="104"/>
      <c r="BP31" s="104"/>
      <c r="BQ31" s="104"/>
      <c r="BR31" s="104"/>
      <c r="BS31" s="104"/>
      <c r="BT31" s="104"/>
      <c r="BU31" s="135"/>
      <c r="BV31" s="104" t="s">
        <v>233</v>
      </c>
      <c r="BW31" s="104"/>
      <c r="BX31" s="105"/>
      <c r="BY31" s="139"/>
      <c r="BZ31" s="137"/>
      <c r="CA31" s="104"/>
      <c r="CB31" s="104"/>
      <c r="CC31" s="123"/>
      <c r="CD31" s="103"/>
      <c r="CE31" s="104"/>
      <c r="CF31" s="104"/>
      <c r="CG31" s="123"/>
      <c r="CH31" s="123"/>
      <c r="CI31" s="123"/>
      <c r="CJ31" s="123"/>
      <c r="CK31" s="123"/>
      <c r="CL31" s="104"/>
      <c r="CM31" s="153"/>
      <c r="CN31" s="139"/>
      <c r="CO31" s="104"/>
      <c r="CP31" s="104"/>
      <c r="CQ31" s="104"/>
      <c r="CR31" s="104"/>
      <c r="CS31" s="104"/>
      <c r="CT31" s="104"/>
      <c r="CU31" s="104"/>
      <c r="CV31" s="104"/>
      <c r="CW31" s="104"/>
      <c r="CX31" s="104"/>
      <c r="CY31" s="104"/>
      <c r="CZ31" s="104"/>
      <c r="DA31" s="104"/>
      <c r="DB31" s="135"/>
      <c r="DC31" s="105"/>
    </row>
    <row r="32" spans="2:107" s="107" customFormat="1" ht="31.2" x14ac:dyDescent="0.3">
      <c r="B32" s="34">
        <v>30</v>
      </c>
      <c r="C32" s="35" t="s">
        <v>105</v>
      </c>
      <c r="D32" s="36" t="s">
        <v>106</v>
      </c>
      <c r="E32" s="103"/>
      <c r="F32" s="104"/>
      <c r="G32" s="104" t="s">
        <v>233</v>
      </c>
      <c r="H32" s="104" t="s">
        <v>233</v>
      </c>
      <c r="I32" s="104"/>
      <c r="J32" s="123"/>
      <c r="K32" s="123"/>
      <c r="L32" s="123" t="s">
        <v>233</v>
      </c>
      <c r="M32" s="135"/>
      <c r="N32" s="136" t="s">
        <v>233</v>
      </c>
      <c r="O32" s="137"/>
      <c r="P32" s="135"/>
      <c r="Q32" s="135"/>
      <c r="R32" s="135"/>
      <c r="S32" s="135"/>
      <c r="T32" s="135"/>
      <c r="U32" s="135"/>
      <c r="V32" s="105"/>
      <c r="W32" s="104"/>
      <c r="X32" s="123"/>
      <c r="Y32" s="123"/>
      <c r="Z32" s="123"/>
      <c r="AA32" s="123"/>
      <c r="AB32" s="123"/>
      <c r="AC32" s="123" t="s">
        <v>233</v>
      </c>
      <c r="AD32" s="123"/>
      <c r="AE32" s="123"/>
      <c r="AF32" s="123" t="s">
        <v>233</v>
      </c>
      <c r="AG32" s="104"/>
      <c r="AH32" s="105"/>
      <c r="AI32" s="103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35"/>
      <c r="AU32" s="136"/>
      <c r="AV32" s="103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3"/>
      <c r="BH32" s="138"/>
      <c r="BI32" s="104"/>
      <c r="BJ32" s="136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35"/>
      <c r="BV32" s="104"/>
      <c r="BW32" s="104"/>
      <c r="BX32" s="105"/>
      <c r="BY32" s="139"/>
      <c r="BZ32" s="137"/>
      <c r="CA32" s="104"/>
      <c r="CB32" s="104"/>
      <c r="CC32" s="123"/>
      <c r="CD32" s="103"/>
      <c r="CE32" s="104"/>
      <c r="CF32" s="104"/>
      <c r="CG32" s="123" t="s">
        <v>233</v>
      </c>
      <c r="CH32" s="123"/>
      <c r="CI32" s="123" t="s">
        <v>233</v>
      </c>
      <c r="CJ32" s="123" t="s">
        <v>233</v>
      </c>
      <c r="CK32" s="123" t="s">
        <v>233</v>
      </c>
      <c r="CL32" s="104"/>
      <c r="CM32" s="153"/>
      <c r="CN32" s="139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35"/>
      <c r="DC32" s="105"/>
    </row>
    <row r="33" spans="2:107" s="107" customFormat="1" ht="46.8" x14ac:dyDescent="0.3">
      <c r="B33" s="34">
        <v>31</v>
      </c>
      <c r="C33" s="35" t="s">
        <v>108</v>
      </c>
      <c r="D33" s="36" t="s">
        <v>109</v>
      </c>
      <c r="E33" s="103"/>
      <c r="F33" s="104"/>
      <c r="G33" s="104"/>
      <c r="H33" s="104"/>
      <c r="I33" s="104"/>
      <c r="J33" s="123"/>
      <c r="K33" s="123"/>
      <c r="L33" s="123"/>
      <c r="M33" s="135"/>
      <c r="N33" s="136"/>
      <c r="O33" s="137"/>
      <c r="P33" s="135"/>
      <c r="Q33" s="135"/>
      <c r="R33" s="135"/>
      <c r="S33" s="135"/>
      <c r="T33" s="135"/>
      <c r="U33" s="135"/>
      <c r="V33" s="105"/>
      <c r="W33" s="104"/>
      <c r="X33" s="123"/>
      <c r="Y33" s="123"/>
      <c r="Z33" s="123"/>
      <c r="AA33" s="123"/>
      <c r="AB33" s="123"/>
      <c r="AC33" s="123"/>
      <c r="AD33" s="123"/>
      <c r="AE33" s="123"/>
      <c r="AF33" s="123"/>
      <c r="AG33" s="104"/>
      <c r="AH33" s="105"/>
      <c r="AI33" s="103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35"/>
      <c r="AU33" s="136"/>
      <c r="AV33" s="103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3"/>
      <c r="BH33" s="138"/>
      <c r="BI33" s="104"/>
      <c r="BJ33" s="136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35"/>
      <c r="BV33" s="104"/>
      <c r="BW33" s="104"/>
      <c r="BX33" s="105"/>
      <c r="BY33" s="139"/>
      <c r="BZ33" s="137"/>
      <c r="CA33" s="104"/>
      <c r="CB33" s="104"/>
      <c r="CC33" s="123"/>
      <c r="CD33" s="103"/>
      <c r="CE33" s="104"/>
      <c r="CF33" s="104"/>
      <c r="CG33" s="123"/>
      <c r="CH33" s="123"/>
      <c r="CI33" s="123"/>
      <c r="CJ33" s="123"/>
      <c r="CK33" s="123"/>
      <c r="CL33" s="104"/>
      <c r="CM33" s="153"/>
      <c r="CN33" s="139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35"/>
      <c r="DC33" s="105"/>
    </row>
    <row r="34" spans="2:107" s="107" customFormat="1" ht="31.2" x14ac:dyDescent="0.3">
      <c r="B34" s="108">
        <v>32</v>
      </c>
      <c r="C34" s="36" t="s">
        <v>111</v>
      </c>
      <c r="D34" s="36" t="s">
        <v>112</v>
      </c>
      <c r="E34" s="103"/>
      <c r="F34" s="104"/>
      <c r="G34" s="104"/>
      <c r="H34" s="104"/>
      <c r="I34" s="104"/>
      <c r="J34" s="123"/>
      <c r="K34" s="123"/>
      <c r="L34" s="123"/>
      <c r="M34" s="135"/>
      <c r="N34" s="136"/>
      <c r="O34" s="137"/>
      <c r="P34" s="135"/>
      <c r="Q34" s="135"/>
      <c r="R34" s="135"/>
      <c r="S34" s="135"/>
      <c r="T34" s="135"/>
      <c r="U34" s="135"/>
      <c r="V34" s="105"/>
      <c r="W34" s="104"/>
      <c r="X34" s="123"/>
      <c r="Y34" s="123"/>
      <c r="Z34" s="123"/>
      <c r="AA34" s="123"/>
      <c r="AB34" s="123"/>
      <c r="AC34" s="123"/>
      <c r="AD34" s="123"/>
      <c r="AE34" s="123"/>
      <c r="AF34" s="123"/>
      <c r="AG34" s="104"/>
      <c r="AH34" s="105"/>
      <c r="AI34" s="103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35"/>
      <c r="AU34" s="136"/>
      <c r="AV34" s="103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3"/>
      <c r="BH34" s="138"/>
      <c r="BI34" s="104"/>
      <c r="BJ34" s="136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35"/>
      <c r="BV34" s="104"/>
      <c r="BW34" s="104"/>
      <c r="BX34" s="105"/>
      <c r="BY34" s="139"/>
      <c r="BZ34" s="137"/>
      <c r="CA34" s="104"/>
      <c r="CB34" s="104"/>
      <c r="CC34" s="123"/>
      <c r="CD34" s="103"/>
      <c r="CE34" s="104"/>
      <c r="CF34" s="104"/>
      <c r="CG34" s="123"/>
      <c r="CH34" s="123"/>
      <c r="CI34" s="123"/>
      <c r="CJ34" s="123"/>
      <c r="CK34" s="123"/>
      <c r="CL34" s="104"/>
      <c r="CM34" s="153"/>
      <c r="CN34" s="139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35"/>
      <c r="DC34" s="105"/>
    </row>
    <row r="35" spans="2:107" s="107" customFormat="1" ht="31.2" x14ac:dyDescent="0.3">
      <c r="B35" s="108">
        <v>33</v>
      </c>
      <c r="C35" s="36" t="s">
        <v>114</v>
      </c>
      <c r="D35" s="36" t="s">
        <v>115</v>
      </c>
      <c r="E35" s="103"/>
      <c r="F35" s="104"/>
      <c r="G35" s="104" t="s">
        <v>233</v>
      </c>
      <c r="H35" s="104" t="s">
        <v>233</v>
      </c>
      <c r="I35" s="104"/>
      <c r="J35" s="123"/>
      <c r="K35" s="123"/>
      <c r="L35" s="123"/>
      <c r="M35" s="135"/>
      <c r="N35" s="136"/>
      <c r="O35" s="137"/>
      <c r="P35" s="135"/>
      <c r="Q35" s="135"/>
      <c r="R35" s="135"/>
      <c r="S35" s="135"/>
      <c r="T35" s="135"/>
      <c r="U35" s="135"/>
      <c r="V35" s="105"/>
      <c r="W35" s="104"/>
      <c r="X35" s="123"/>
      <c r="Y35" s="123"/>
      <c r="Z35" s="123"/>
      <c r="AA35" s="123"/>
      <c r="AB35" s="123"/>
      <c r="AC35" s="123"/>
      <c r="AD35" s="123"/>
      <c r="AE35" s="123"/>
      <c r="AF35" s="123"/>
      <c r="AG35" s="104"/>
      <c r="AH35" s="105"/>
      <c r="AI35" s="103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35"/>
      <c r="AU35" s="136"/>
      <c r="AV35" s="103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3"/>
      <c r="BH35" s="138"/>
      <c r="BI35" s="104"/>
      <c r="BJ35" s="136"/>
      <c r="BK35" s="104"/>
      <c r="BL35" s="104" t="s">
        <v>233</v>
      </c>
      <c r="BM35" s="104"/>
      <c r="BN35" s="104"/>
      <c r="BO35" s="104"/>
      <c r="BP35" s="104"/>
      <c r="BQ35" s="104"/>
      <c r="BR35" s="104"/>
      <c r="BS35" s="104"/>
      <c r="BT35" s="104"/>
      <c r="BU35" s="135"/>
      <c r="BV35" s="104"/>
      <c r="BW35" s="104"/>
      <c r="BX35" s="105"/>
      <c r="BY35" s="139"/>
      <c r="BZ35" s="137"/>
      <c r="CA35" s="104"/>
      <c r="CB35" s="104"/>
      <c r="CC35" s="123"/>
      <c r="CD35" s="103"/>
      <c r="CE35" s="104"/>
      <c r="CF35" s="104"/>
      <c r="CG35" s="123"/>
      <c r="CH35" s="123"/>
      <c r="CI35" s="123"/>
      <c r="CJ35" s="123"/>
      <c r="CK35" s="123"/>
      <c r="CL35" s="104"/>
      <c r="CM35" s="153"/>
      <c r="CN35" s="139"/>
      <c r="CO35" s="104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  <c r="DB35" s="135"/>
      <c r="DC35" s="105"/>
    </row>
    <row r="36" spans="2:107" s="107" customFormat="1" ht="31.2" x14ac:dyDescent="0.3">
      <c r="B36" s="108">
        <v>34</v>
      </c>
      <c r="C36" s="36" t="s">
        <v>117</v>
      </c>
      <c r="D36" s="36" t="s">
        <v>118</v>
      </c>
      <c r="E36" s="103"/>
      <c r="F36" s="104"/>
      <c r="G36" s="104"/>
      <c r="H36" s="104"/>
      <c r="I36" s="104" t="s">
        <v>233</v>
      </c>
      <c r="J36" s="123"/>
      <c r="K36" s="123"/>
      <c r="L36" s="123"/>
      <c r="M36" s="135"/>
      <c r="N36" s="136"/>
      <c r="O36" s="137"/>
      <c r="P36" s="135"/>
      <c r="Q36" s="135"/>
      <c r="R36" s="135"/>
      <c r="S36" s="135"/>
      <c r="T36" s="135"/>
      <c r="U36" s="135"/>
      <c r="V36" s="105"/>
      <c r="W36" s="104"/>
      <c r="X36" s="123"/>
      <c r="Y36" s="123"/>
      <c r="Z36" s="123"/>
      <c r="AA36" s="123"/>
      <c r="AB36" s="123"/>
      <c r="AC36" s="123"/>
      <c r="AD36" s="123"/>
      <c r="AE36" s="123"/>
      <c r="AF36" s="123"/>
      <c r="AG36" s="104"/>
      <c r="AH36" s="105"/>
      <c r="AI36" s="103"/>
      <c r="AJ36" s="104"/>
      <c r="AK36" s="104"/>
      <c r="AL36" s="104"/>
      <c r="AM36" s="104"/>
      <c r="AN36" s="104"/>
      <c r="AO36" s="104" t="s">
        <v>233</v>
      </c>
      <c r="AP36" s="104"/>
      <c r="AQ36" s="104"/>
      <c r="AR36" s="104"/>
      <c r="AS36" s="104"/>
      <c r="AT36" s="135"/>
      <c r="AU36" s="136"/>
      <c r="AV36" s="103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3"/>
      <c r="BH36" s="138"/>
      <c r="BI36" s="104"/>
      <c r="BJ36" s="136"/>
      <c r="BK36" s="104" t="s">
        <v>233</v>
      </c>
      <c r="BL36" s="104"/>
      <c r="BM36" s="104"/>
      <c r="BN36" s="104" t="s">
        <v>233</v>
      </c>
      <c r="BO36" s="104"/>
      <c r="BP36" s="104"/>
      <c r="BQ36" s="104"/>
      <c r="BR36" s="104"/>
      <c r="BS36" s="104"/>
      <c r="BT36" s="104"/>
      <c r="BU36" s="135"/>
      <c r="BV36" s="104"/>
      <c r="BW36" s="104"/>
      <c r="BX36" s="105"/>
      <c r="BY36" s="139"/>
      <c r="BZ36" s="137"/>
      <c r="CA36" s="104"/>
      <c r="CB36" s="104"/>
      <c r="CC36" s="123"/>
      <c r="CD36" s="103"/>
      <c r="CE36" s="104"/>
      <c r="CF36" s="104"/>
      <c r="CG36" s="123"/>
      <c r="CH36" s="123"/>
      <c r="CI36" s="123"/>
      <c r="CJ36" s="123"/>
      <c r="CK36" s="123"/>
      <c r="CL36" s="104"/>
      <c r="CM36" s="153"/>
      <c r="CN36" s="139"/>
      <c r="CO36" s="104"/>
      <c r="CP36" s="104"/>
      <c r="CQ36" s="104"/>
      <c r="CR36" s="104"/>
      <c r="CS36" s="104"/>
      <c r="CT36" s="104"/>
      <c r="CU36" s="104"/>
      <c r="CV36" s="104"/>
      <c r="CW36" s="104"/>
      <c r="CX36" s="104"/>
      <c r="CY36" s="104"/>
      <c r="CZ36" s="104"/>
      <c r="DA36" s="104"/>
      <c r="DB36" s="135"/>
      <c r="DC36" s="105"/>
    </row>
    <row r="37" spans="2:107" s="107" customFormat="1" ht="31.2" x14ac:dyDescent="0.3">
      <c r="B37" s="108">
        <v>35</v>
      </c>
      <c r="C37" s="36" t="s">
        <v>120</v>
      </c>
      <c r="D37" s="36" t="s">
        <v>121</v>
      </c>
      <c r="E37" s="103"/>
      <c r="F37" s="104"/>
      <c r="G37" s="104"/>
      <c r="H37" s="104"/>
      <c r="I37" s="104"/>
      <c r="J37" s="123"/>
      <c r="K37" s="123"/>
      <c r="L37" s="123"/>
      <c r="M37" s="135"/>
      <c r="N37" s="136"/>
      <c r="O37" s="137"/>
      <c r="P37" s="135"/>
      <c r="Q37" s="135"/>
      <c r="R37" s="135"/>
      <c r="S37" s="135"/>
      <c r="T37" s="135"/>
      <c r="U37" s="135"/>
      <c r="V37" s="105"/>
      <c r="W37" s="104"/>
      <c r="X37" s="123"/>
      <c r="Y37" s="123"/>
      <c r="Z37" s="123"/>
      <c r="AA37" s="123"/>
      <c r="AB37" s="123"/>
      <c r="AC37" s="123"/>
      <c r="AD37" s="123"/>
      <c r="AE37" s="123"/>
      <c r="AF37" s="123"/>
      <c r="AG37" s="104"/>
      <c r="AH37" s="105"/>
      <c r="AI37" s="103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35"/>
      <c r="AU37" s="136"/>
      <c r="AV37" s="103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3"/>
      <c r="BH37" s="138"/>
      <c r="BI37" s="104"/>
      <c r="BJ37" s="136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35"/>
      <c r="BV37" s="104"/>
      <c r="BW37" s="104"/>
      <c r="BX37" s="105"/>
      <c r="BY37" s="139"/>
      <c r="BZ37" s="137"/>
      <c r="CA37" s="104"/>
      <c r="CB37" s="104"/>
      <c r="CC37" s="123"/>
      <c r="CD37" s="103"/>
      <c r="CE37" s="104"/>
      <c r="CF37" s="104"/>
      <c r="CG37" s="123"/>
      <c r="CH37" s="123"/>
      <c r="CI37" s="123"/>
      <c r="CJ37" s="123"/>
      <c r="CK37" s="123"/>
      <c r="CL37" s="104"/>
      <c r="CM37" s="153"/>
      <c r="CN37" s="139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35"/>
      <c r="DC37" s="105"/>
    </row>
    <row r="38" spans="2:107" s="107" customFormat="1" ht="46.8" x14ac:dyDescent="0.3">
      <c r="B38" s="108">
        <v>36</v>
      </c>
      <c r="C38" s="36" t="s">
        <v>123</v>
      </c>
      <c r="D38" s="36" t="s">
        <v>124</v>
      </c>
      <c r="E38" s="103"/>
      <c r="F38" s="104"/>
      <c r="G38" s="104"/>
      <c r="H38" s="104"/>
      <c r="I38" s="104"/>
      <c r="J38" s="123"/>
      <c r="K38" s="123"/>
      <c r="L38" s="123"/>
      <c r="M38" s="135"/>
      <c r="N38" s="136"/>
      <c r="O38" s="137"/>
      <c r="P38" s="135"/>
      <c r="Q38" s="135"/>
      <c r="R38" s="135"/>
      <c r="S38" s="135"/>
      <c r="T38" s="135"/>
      <c r="U38" s="135"/>
      <c r="V38" s="105"/>
      <c r="W38" s="104"/>
      <c r="X38" s="123"/>
      <c r="Y38" s="123"/>
      <c r="Z38" s="123"/>
      <c r="AA38" s="123"/>
      <c r="AB38" s="123"/>
      <c r="AC38" s="123"/>
      <c r="AD38" s="123"/>
      <c r="AE38" s="123"/>
      <c r="AF38" s="123"/>
      <c r="AG38" s="104"/>
      <c r="AH38" s="105"/>
      <c r="AI38" s="103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35"/>
      <c r="AU38" s="136"/>
      <c r="AV38" s="103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3"/>
      <c r="BH38" s="138"/>
      <c r="BI38" s="104"/>
      <c r="BJ38" s="136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35"/>
      <c r="BV38" s="104"/>
      <c r="BW38" s="104"/>
      <c r="BX38" s="105"/>
      <c r="BY38" s="139"/>
      <c r="BZ38" s="137"/>
      <c r="CA38" s="104"/>
      <c r="CB38" s="104"/>
      <c r="CC38" s="123"/>
      <c r="CD38" s="103"/>
      <c r="CE38" s="104"/>
      <c r="CF38" s="104"/>
      <c r="CG38" s="123"/>
      <c r="CH38" s="123"/>
      <c r="CI38" s="123"/>
      <c r="CJ38" s="123"/>
      <c r="CK38" s="123"/>
      <c r="CL38" s="104"/>
      <c r="CM38" s="153"/>
      <c r="CN38" s="139"/>
      <c r="CO38" s="104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  <c r="DB38" s="135"/>
      <c r="DC38" s="105"/>
    </row>
    <row r="39" spans="2:107" s="107" customFormat="1" ht="31.2" x14ac:dyDescent="0.3">
      <c r="B39" s="108">
        <v>37</v>
      </c>
      <c r="C39" s="36" t="s">
        <v>126</v>
      </c>
      <c r="D39" s="36" t="s">
        <v>127</v>
      </c>
      <c r="E39" s="103"/>
      <c r="F39" s="104"/>
      <c r="G39" s="104" t="s">
        <v>233</v>
      </c>
      <c r="H39" s="104"/>
      <c r="I39" s="104"/>
      <c r="J39" s="123"/>
      <c r="K39" s="123" t="s">
        <v>233</v>
      </c>
      <c r="L39" s="123"/>
      <c r="M39" s="135"/>
      <c r="N39" s="136"/>
      <c r="O39" s="137"/>
      <c r="P39" s="135"/>
      <c r="Q39" s="135"/>
      <c r="R39" s="135"/>
      <c r="S39" s="135"/>
      <c r="T39" s="135"/>
      <c r="U39" s="135"/>
      <c r="V39" s="105"/>
      <c r="W39" s="104"/>
      <c r="X39" s="123"/>
      <c r="Y39" s="123"/>
      <c r="Z39" s="123"/>
      <c r="AA39" s="123"/>
      <c r="AB39" s="123"/>
      <c r="AC39" s="123"/>
      <c r="AD39" s="123"/>
      <c r="AE39" s="123"/>
      <c r="AF39" s="123"/>
      <c r="AG39" s="104"/>
      <c r="AH39" s="105"/>
      <c r="AI39" s="103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35"/>
      <c r="AU39" s="136"/>
      <c r="AV39" s="103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3"/>
      <c r="BH39" s="138"/>
      <c r="BI39" s="104"/>
      <c r="BJ39" s="136"/>
      <c r="BK39" s="104"/>
      <c r="BL39" s="104"/>
      <c r="BM39" s="104"/>
      <c r="BN39" s="104"/>
      <c r="BO39" s="104" t="s">
        <v>233</v>
      </c>
      <c r="BP39" s="104" t="s">
        <v>233</v>
      </c>
      <c r="BQ39" s="104" t="s">
        <v>233</v>
      </c>
      <c r="BR39" s="104"/>
      <c r="BS39" s="104"/>
      <c r="BT39" s="104"/>
      <c r="BU39" s="135"/>
      <c r="BV39" s="104"/>
      <c r="BW39" s="104"/>
      <c r="BX39" s="105"/>
      <c r="BY39" s="139"/>
      <c r="BZ39" s="137"/>
      <c r="CA39" s="104"/>
      <c r="CB39" s="104"/>
      <c r="CC39" s="123"/>
      <c r="CD39" s="103"/>
      <c r="CE39" s="104"/>
      <c r="CF39" s="104"/>
      <c r="CG39" s="123"/>
      <c r="CH39" s="123"/>
      <c r="CI39" s="123"/>
      <c r="CJ39" s="123"/>
      <c r="CK39" s="123"/>
      <c r="CL39" s="104"/>
      <c r="CM39" s="153"/>
      <c r="CN39" s="139"/>
      <c r="CO39" s="104"/>
      <c r="CP39" s="104"/>
      <c r="CQ39" s="104"/>
      <c r="CR39" s="104"/>
      <c r="CS39" s="104" t="s">
        <v>233</v>
      </c>
      <c r="CT39" s="104"/>
      <c r="CU39" s="104"/>
      <c r="CV39" s="104"/>
      <c r="CW39" s="104"/>
      <c r="CX39" s="104"/>
      <c r="CY39" s="104"/>
      <c r="CZ39" s="104"/>
      <c r="DA39" s="104"/>
      <c r="DB39" s="135"/>
      <c r="DC39" s="105"/>
    </row>
    <row r="40" spans="2:107" s="107" customFormat="1" ht="31.2" x14ac:dyDescent="0.3">
      <c r="B40" s="108">
        <v>38</v>
      </c>
      <c r="C40" s="36" t="s">
        <v>129</v>
      </c>
      <c r="D40" s="36" t="s">
        <v>130</v>
      </c>
      <c r="E40" s="103"/>
      <c r="F40" s="104" t="s">
        <v>233</v>
      </c>
      <c r="G40" s="104" t="s">
        <v>233</v>
      </c>
      <c r="H40" s="104" t="s">
        <v>233</v>
      </c>
      <c r="I40" s="104"/>
      <c r="J40" s="123"/>
      <c r="K40" s="123"/>
      <c r="L40" s="123"/>
      <c r="M40" s="135" t="s">
        <v>233</v>
      </c>
      <c r="N40" s="136" t="s">
        <v>233</v>
      </c>
      <c r="O40" s="137"/>
      <c r="P40" s="135"/>
      <c r="Q40" s="135"/>
      <c r="R40" s="135"/>
      <c r="S40" s="135"/>
      <c r="T40" s="135"/>
      <c r="U40" s="135"/>
      <c r="V40" s="105"/>
      <c r="W40" s="104"/>
      <c r="X40" s="123"/>
      <c r="Y40" s="123"/>
      <c r="Z40" s="123"/>
      <c r="AA40" s="123"/>
      <c r="AB40" s="123"/>
      <c r="AC40" s="123" t="s">
        <v>233</v>
      </c>
      <c r="AD40" s="123"/>
      <c r="AE40" s="123"/>
      <c r="AF40" s="123"/>
      <c r="AG40" s="104"/>
      <c r="AH40" s="105"/>
      <c r="AI40" s="103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35"/>
      <c r="AU40" s="136"/>
      <c r="AV40" s="103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3"/>
      <c r="BH40" s="138" t="s">
        <v>233</v>
      </c>
      <c r="BI40" s="104"/>
      <c r="BJ40" s="136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35"/>
      <c r="BV40" s="104"/>
      <c r="BW40" s="104"/>
      <c r="BX40" s="105"/>
      <c r="BY40" s="139"/>
      <c r="BZ40" s="137"/>
      <c r="CA40" s="104"/>
      <c r="CB40" s="104"/>
      <c r="CC40" s="123"/>
      <c r="CD40" s="103"/>
      <c r="CE40" s="104"/>
      <c r="CF40" s="104"/>
      <c r="CG40" s="123"/>
      <c r="CH40" s="123" t="s">
        <v>233</v>
      </c>
      <c r="CI40" s="123"/>
      <c r="CJ40" s="123"/>
      <c r="CK40" s="123"/>
      <c r="CL40" s="104"/>
      <c r="CM40" s="153"/>
      <c r="CN40" s="139"/>
      <c r="CO40" s="104"/>
      <c r="CP40" s="104" t="s">
        <v>233</v>
      </c>
      <c r="CQ40" s="104"/>
      <c r="CR40" s="104"/>
      <c r="CS40" s="104"/>
      <c r="CT40" s="104" t="s">
        <v>233</v>
      </c>
      <c r="CU40" s="104"/>
      <c r="CV40" s="104" t="s">
        <v>233</v>
      </c>
      <c r="CW40" s="104"/>
      <c r="CX40" s="104"/>
      <c r="CY40" s="104"/>
      <c r="CZ40" s="104"/>
      <c r="DA40" s="104"/>
      <c r="DB40" s="135" t="s">
        <v>233</v>
      </c>
      <c r="DC40" s="105"/>
    </row>
    <row r="41" spans="2:107" s="107" customFormat="1" x14ac:dyDescent="0.3">
      <c r="B41" s="34">
        <v>39</v>
      </c>
      <c r="C41" s="2" t="s">
        <v>132</v>
      </c>
      <c r="D41" s="2" t="s">
        <v>26</v>
      </c>
      <c r="E41" s="103"/>
      <c r="F41" s="104" t="s">
        <v>233</v>
      </c>
      <c r="G41" s="104"/>
      <c r="H41" s="104" t="s">
        <v>233</v>
      </c>
      <c r="I41" s="104"/>
      <c r="J41" s="123"/>
      <c r="K41" s="123"/>
      <c r="L41" s="123"/>
      <c r="M41" s="135"/>
      <c r="N41" s="136"/>
      <c r="O41" s="137"/>
      <c r="P41" s="135" t="s">
        <v>233</v>
      </c>
      <c r="Q41" s="135"/>
      <c r="R41" s="135"/>
      <c r="S41" s="135"/>
      <c r="T41" s="135"/>
      <c r="U41" s="135" t="s">
        <v>233</v>
      </c>
      <c r="V41" s="105"/>
      <c r="W41" s="104"/>
      <c r="X41" s="123"/>
      <c r="Y41" s="123"/>
      <c r="Z41" s="123"/>
      <c r="AA41" s="123"/>
      <c r="AB41" s="123"/>
      <c r="AC41" s="123"/>
      <c r="AD41" s="123"/>
      <c r="AE41" s="123"/>
      <c r="AF41" s="123"/>
      <c r="AG41" s="104"/>
      <c r="AH41" s="105"/>
      <c r="AI41" s="103"/>
      <c r="AJ41" s="104"/>
      <c r="AK41" s="104" t="s">
        <v>233</v>
      </c>
      <c r="AL41" s="104"/>
      <c r="AM41" s="104"/>
      <c r="AN41" s="104" t="s">
        <v>233</v>
      </c>
      <c r="AO41" s="104"/>
      <c r="AP41" s="104"/>
      <c r="AQ41" s="104"/>
      <c r="AR41" s="104" t="s">
        <v>233</v>
      </c>
      <c r="AS41" s="104"/>
      <c r="AT41" s="135"/>
      <c r="AU41" s="136"/>
      <c r="AV41" s="103" t="s">
        <v>233</v>
      </c>
      <c r="AW41" s="104" t="s">
        <v>233</v>
      </c>
      <c r="AX41" s="104"/>
      <c r="AY41" s="104"/>
      <c r="AZ41" s="104" t="s">
        <v>233</v>
      </c>
      <c r="BA41" s="104"/>
      <c r="BB41" s="104"/>
      <c r="BC41" s="104"/>
      <c r="BD41" s="104"/>
      <c r="BE41" s="104"/>
      <c r="BF41" s="104"/>
      <c r="BG41" s="103"/>
      <c r="BH41" s="138"/>
      <c r="BI41" s="104"/>
      <c r="BJ41" s="136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35"/>
      <c r="BV41" s="104"/>
      <c r="BW41" s="104"/>
      <c r="BX41" s="105"/>
      <c r="BY41" s="139"/>
      <c r="BZ41" s="137"/>
      <c r="CA41" s="104"/>
      <c r="CB41" s="104"/>
      <c r="CC41" s="123"/>
      <c r="CD41" s="103"/>
      <c r="CE41" s="104"/>
      <c r="CF41" s="104"/>
      <c r="CG41" s="123"/>
      <c r="CH41" s="123"/>
      <c r="CI41" s="123"/>
      <c r="CJ41" s="123"/>
      <c r="CK41" s="123"/>
      <c r="CL41" s="104"/>
      <c r="CM41" s="153"/>
      <c r="CN41" s="139"/>
      <c r="CO41" s="104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  <c r="DB41" s="135"/>
      <c r="DC41" s="105"/>
    </row>
    <row r="42" spans="2:107" s="107" customFormat="1" ht="46.8" x14ac:dyDescent="0.3">
      <c r="B42" s="34">
        <v>40</v>
      </c>
      <c r="C42" s="35" t="s">
        <v>134</v>
      </c>
      <c r="D42" s="36" t="s">
        <v>135</v>
      </c>
      <c r="E42" s="103"/>
      <c r="F42" s="104"/>
      <c r="G42" s="104"/>
      <c r="H42" s="104"/>
      <c r="I42" s="104"/>
      <c r="J42" s="123" t="s">
        <v>233</v>
      </c>
      <c r="K42" s="123"/>
      <c r="L42" s="123" t="s">
        <v>233</v>
      </c>
      <c r="M42" s="135"/>
      <c r="N42" s="136"/>
      <c r="O42" s="137"/>
      <c r="P42" s="135"/>
      <c r="Q42" s="135"/>
      <c r="R42" s="135"/>
      <c r="S42" s="135"/>
      <c r="T42" s="135"/>
      <c r="U42" s="135"/>
      <c r="V42" s="105"/>
      <c r="W42" s="104"/>
      <c r="X42" s="123"/>
      <c r="Y42" s="123"/>
      <c r="Z42" s="123"/>
      <c r="AA42" s="123"/>
      <c r="AB42" s="123"/>
      <c r="AC42" s="123"/>
      <c r="AD42" s="123"/>
      <c r="AE42" s="123"/>
      <c r="AF42" s="123"/>
      <c r="AG42" s="104"/>
      <c r="AH42" s="105"/>
      <c r="AI42" s="103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35"/>
      <c r="AU42" s="136"/>
      <c r="AV42" s="103"/>
      <c r="AW42" s="104" t="s">
        <v>233</v>
      </c>
      <c r="AX42" s="104"/>
      <c r="AY42" s="104"/>
      <c r="AZ42" s="104" t="s">
        <v>233</v>
      </c>
      <c r="BA42" s="104"/>
      <c r="BB42" s="104"/>
      <c r="BC42" s="104"/>
      <c r="BD42" s="104"/>
      <c r="BE42" s="104"/>
      <c r="BF42" s="104"/>
      <c r="BG42" s="103"/>
      <c r="BH42" s="138"/>
      <c r="BI42" s="104"/>
      <c r="BJ42" s="136"/>
      <c r="BK42" s="104" t="s">
        <v>233</v>
      </c>
      <c r="BL42" s="104"/>
      <c r="BM42" s="104"/>
      <c r="BN42" s="104"/>
      <c r="BO42" s="104"/>
      <c r="BP42" s="104"/>
      <c r="BQ42" s="104"/>
      <c r="BR42" s="104"/>
      <c r="BS42" s="104"/>
      <c r="BT42" s="104"/>
      <c r="BU42" s="135"/>
      <c r="BV42" s="104"/>
      <c r="BW42" s="104"/>
      <c r="BX42" s="105"/>
      <c r="BY42" s="139"/>
      <c r="BZ42" s="137"/>
      <c r="CA42" s="104"/>
      <c r="CB42" s="104"/>
      <c r="CC42" s="123" t="s">
        <v>233</v>
      </c>
      <c r="CD42" s="103"/>
      <c r="CE42" s="104"/>
      <c r="CF42" s="104"/>
      <c r="CG42" s="123"/>
      <c r="CH42" s="123"/>
      <c r="CI42" s="123"/>
      <c r="CJ42" s="123"/>
      <c r="CK42" s="123"/>
      <c r="CL42" s="104"/>
      <c r="CM42" s="153"/>
      <c r="CN42" s="139"/>
      <c r="CO42" s="104" t="s">
        <v>233</v>
      </c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35"/>
      <c r="DC42" s="105"/>
    </row>
    <row r="43" spans="2:107" s="107" customFormat="1" ht="31.2" x14ac:dyDescent="0.3">
      <c r="B43" s="108">
        <v>42</v>
      </c>
      <c r="C43" s="36" t="s">
        <v>137</v>
      </c>
      <c r="D43" s="36" t="s">
        <v>138</v>
      </c>
      <c r="E43" s="103"/>
      <c r="F43" s="104"/>
      <c r="G43" s="104" t="s">
        <v>233</v>
      </c>
      <c r="H43" s="104"/>
      <c r="I43" s="104"/>
      <c r="J43" s="123"/>
      <c r="K43" s="123"/>
      <c r="L43" s="123"/>
      <c r="M43" s="135"/>
      <c r="N43" s="136"/>
      <c r="O43" s="137"/>
      <c r="P43" s="135"/>
      <c r="Q43" s="135"/>
      <c r="R43" s="135"/>
      <c r="S43" s="135"/>
      <c r="T43" s="135"/>
      <c r="U43" s="135"/>
      <c r="V43" s="105"/>
      <c r="W43" s="104"/>
      <c r="X43" s="123"/>
      <c r="Y43" s="123"/>
      <c r="Z43" s="123"/>
      <c r="AA43" s="123"/>
      <c r="AB43" s="123"/>
      <c r="AC43" s="123"/>
      <c r="AD43" s="123"/>
      <c r="AE43" s="123"/>
      <c r="AF43" s="123"/>
      <c r="AG43" s="104"/>
      <c r="AH43" s="105"/>
      <c r="AI43" s="103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35"/>
      <c r="AU43" s="136"/>
      <c r="AV43" s="103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3"/>
      <c r="BH43" s="138"/>
      <c r="BI43" s="104"/>
      <c r="BJ43" s="136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35"/>
      <c r="BV43" s="104"/>
      <c r="BW43" s="104"/>
      <c r="BX43" s="105"/>
      <c r="BY43" s="139"/>
      <c r="BZ43" s="137"/>
      <c r="CA43" s="104"/>
      <c r="CB43" s="104"/>
      <c r="CC43" s="123"/>
      <c r="CD43" s="103"/>
      <c r="CE43" s="104"/>
      <c r="CF43" s="104"/>
      <c r="CG43" s="123"/>
      <c r="CH43" s="123"/>
      <c r="CI43" s="123"/>
      <c r="CJ43" s="123"/>
      <c r="CK43" s="123"/>
      <c r="CL43" s="104"/>
      <c r="CM43" s="153"/>
      <c r="CN43" s="139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35"/>
      <c r="DC43" s="105"/>
    </row>
    <row r="44" spans="2:107" s="107" customFormat="1" ht="31.2" x14ac:dyDescent="0.3">
      <c r="B44" s="108">
        <v>43</v>
      </c>
      <c r="C44" s="36" t="s">
        <v>140</v>
      </c>
      <c r="D44" s="36" t="s">
        <v>141</v>
      </c>
      <c r="E44" s="103"/>
      <c r="F44" s="104"/>
      <c r="G44" s="104" t="s">
        <v>233</v>
      </c>
      <c r="H44" s="104"/>
      <c r="I44" s="104"/>
      <c r="J44" s="123"/>
      <c r="K44" s="123"/>
      <c r="L44" s="123"/>
      <c r="M44" s="135"/>
      <c r="N44" s="136"/>
      <c r="O44" s="137"/>
      <c r="P44" s="135"/>
      <c r="Q44" s="135"/>
      <c r="R44" s="135"/>
      <c r="S44" s="135"/>
      <c r="T44" s="135"/>
      <c r="U44" s="135"/>
      <c r="V44" s="105"/>
      <c r="W44" s="104"/>
      <c r="X44" s="123"/>
      <c r="Y44" s="123"/>
      <c r="Z44" s="123"/>
      <c r="AA44" s="123"/>
      <c r="AB44" s="123"/>
      <c r="AC44" s="123" t="s">
        <v>233</v>
      </c>
      <c r="AD44" s="123"/>
      <c r="AE44" s="123"/>
      <c r="AF44" s="123"/>
      <c r="AG44" s="104"/>
      <c r="AH44" s="105"/>
      <c r="AI44" s="103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35"/>
      <c r="AU44" s="136"/>
      <c r="AV44" s="103"/>
      <c r="AW44" s="104"/>
      <c r="AX44" s="104"/>
      <c r="AY44" s="104"/>
      <c r="AZ44" s="104"/>
      <c r="BA44" s="104"/>
      <c r="BB44" s="104"/>
      <c r="BC44" s="104"/>
      <c r="BD44" s="104"/>
      <c r="BE44" s="104"/>
      <c r="BF44" s="104"/>
      <c r="BG44" s="103"/>
      <c r="BH44" s="138"/>
      <c r="BI44" s="104"/>
      <c r="BJ44" s="136"/>
      <c r="BK44" s="104"/>
      <c r="BL44" s="104"/>
      <c r="BM44" s="104"/>
      <c r="BN44" s="104"/>
      <c r="BO44" s="104"/>
      <c r="BP44" s="104"/>
      <c r="BQ44" s="104"/>
      <c r="BR44" s="104"/>
      <c r="BS44" s="104"/>
      <c r="BT44" s="104"/>
      <c r="BU44" s="135"/>
      <c r="BV44" s="104"/>
      <c r="BW44" s="104"/>
      <c r="BX44" s="105"/>
      <c r="BY44" s="139"/>
      <c r="BZ44" s="137"/>
      <c r="CA44" s="104"/>
      <c r="CB44" s="104"/>
      <c r="CC44" s="123"/>
      <c r="CD44" s="103"/>
      <c r="CE44" s="104"/>
      <c r="CF44" s="104"/>
      <c r="CG44" s="123"/>
      <c r="CH44" s="123"/>
      <c r="CI44" s="123"/>
      <c r="CJ44" s="123"/>
      <c r="CK44" s="123"/>
      <c r="CL44" s="104"/>
      <c r="CM44" s="153"/>
      <c r="CN44" s="139"/>
      <c r="CO44" s="104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/>
      <c r="DB44" s="135"/>
      <c r="DC44" s="105"/>
    </row>
    <row r="45" spans="2:107" s="107" customFormat="1" ht="46.8" x14ac:dyDescent="0.3">
      <c r="B45" s="108">
        <v>44</v>
      </c>
      <c r="C45" s="36" t="s">
        <v>143</v>
      </c>
      <c r="D45" s="36" t="s">
        <v>144</v>
      </c>
      <c r="E45" s="103"/>
      <c r="F45" s="104"/>
      <c r="G45" s="104"/>
      <c r="H45" s="104" t="s">
        <v>233</v>
      </c>
      <c r="I45" s="104"/>
      <c r="J45" s="123"/>
      <c r="K45" s="123"/>
      <c r="L45" s="123" t="s">
        <v>233</v>
      </c>
      <c r="M45" s="135"/>
      <c r="N45" s="136"/>
      <c r="O45" s="137"/>
      <c r="P45" s="135"/>
      <c r="Q45" s="135"/>
      <c r="R45" s="135"/>
      <c r="S45" s="135"/>
      <c r="T45" s="135"/>
      <c r="U45" s="135"/>
      <c r="V45" s="105"/>
      <c r="W45" s="104"/>
      <c r="X45" s="123"/>
      <c r="Y45" s="123" t="s">
        <v>233</v>
      </c>
      <c r="Z45" s="123"/>
      <c r="AA45" s="123"/>
      <c r="AB45" s="123"/>
      <c r="AC45" s="123" t="s">
        <v>233</v>
      </c>
      <c r="AD45" s="123"/>
      <c r="AE45" s="123"/>
      <c r="AF45" s="123"/>
      <c r="AG45" s="104"/>
      <c r="AH45" s="105"/>
      <c r="AI45" s="103"/>
      <c r="AJ45" s="104"/>
      <c r="AK45" s="104" t="s">
        <v>233</v>
      </c>
      <c r="AL45" s="104"/>
      <c r="AM45" s="104"/>
      <c r="AN45" s="104"/>
      <c r="AO45" s="104"/>
      <c r="AP45" s="104"/>
      <c r="AQ45" s="104"/>
      <c r="AR45" s="104"/>
      <c r="AS45" s="104"/>
      <c r="AT45" s="135"/>
      <c r="AU45" s="136"/>
      <c r="AV45" s="103" t="s">
        <v>233</v>
      </c>
      <c r="AW45" s="104" t="s">
        <v>233</v>
      </c>
      <c r="AX45" s="104"/>
      <c r="AY45" s="104"/>
      <c r="AZ45" s="104"/>
      <c r="BA45" s="104"/>
      <c r="BB45" s="104"/>
      <c r="BC45" s="104"/>
      <c r="BD45" s="104"/>
      <c r="BE45" s="104"/>
      <c r="BF45" s="104"/>
      <c r="BG45" s="103"/>
      <c r="BH45" s="138"/>
      <c r="BI45" s="104"/>
      <c r="BJ45" s="136"/>
      <c r="BK45" s="104" t="s">
        <v>233</v>
      </c>
      <c r="BL45" s="104"/>
      <c r="BM45" s="104"/>
      <c r="BN45" s="104"/>
      <c r="BO45" s="104"/>
      <c r="BP45" s="104"/>
      <c r="BQ45" s="104"/>
      <c r="BR45" s="104"/>
      <c r="BS45" s="104"/>
      <c r="BT45" s="104"/>
      <c r="BU45" s="135"/>
      <c r="BV45" s="104"/>
      <c r="BW45" s="104"/>
      <c r="BX45" s="105"/>
      <c r="BY45" s="139"/>
      <c r="BZ45" s="137"/>
      <c r="CA45" s="104"/>
      <c r="CB45" s="104"/>
      <c r="CC45" s="123"/>
      <c r="CD45" s="103"/>
      <c r="CE45" s="104"/>
      <c r="CF45" s="104"/>
      <c r="CG45" s="123"/>
      <c r="CH45" s="123"/>
      <c r="CI45" s="123"/>
      <c r="CJ45" s="123"/>
      <c r="CK45" s="123"/>
      <c r="CL45" s="104"/>
      <c r="CM45" s="153"/>
      <c r="CN45" s="139"/>
      <c r="CO45" s="104"/>
      <c r="CP45" s="104"/>
      <c r="CQ45" s="104"/>
      <c r="CR45" s="104"/>
      <c r="CS45" s="104"/>
      <c r="CT45" s="104"/>
      <c r="CU45" s="104"/>
      <c r="CV45" s="104"/>
      <c r="CW45" s="104"/>
      <c r="CX45" s="104"/>
      <c r="CY45" s="104"/>
      <c r="CZ45" s="104"/>
      <c r="DA45" s="104"/>
      <c r="DB45" s="135"/>
      <c r="DC45" s="105"/>
    </row>
    <row r="46" spans="2:107" s="107" customFormat="1" ht="46.8" x14ac:dyDescent="0.3">
      <c r="B46" s="108">
        <v>45</v>
      </c>
      <c r="C46" s="36" t="s">
        <v>146</v>
      </c>
      <c r="D46" s="36" t="s">
        <v>147</v>
      </c>
      <c r="E46" s="103"/>
      <c r="F46" s="104"/>
      <c r="G46" s="104"/>
      <c r="H46" s="104" t="s">
        <v>233</v>
      </c>
      <c r="I46" s="104"/>
      <c r="J46" s="123"/>
      <c r="K46" s="123"/>
      <c r="L46" s="123"/>
      <c r="M46" s="135"/>
      <c r="N46" s="136"/>
      <c r="O46" s="137"/>
      <c r="P46" s="135"/>
      <c r="Q46" s="135"/>
      <c r="R46" s="135"/>
      <c r="S46" s="135"/>
      <c r="T46" s="135"/>
      <c r="U46" s="135"/>
      <c r="V46" s="105"/>
      <c r="W46" s="104"/>
      <c r="X46" s="123"/>
      <c r="Y46" s="123"/>
      <c r="Z46" s="123"/>
      <c r="AA46" s="123"/>
      <c r="AB46" s="123"/>
      <c r="AC46" s="123"/>
      <c r="AD46" s="123"/>
      <c r="AE46" s="123"/>
      <c r="AF46" s="123" t="s">
        <v>233</v>
      </c>
      <c r="AG46" s="104"/>
      <c r="AH46" s="105"/>
      <c r="AI46" s="103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35"/>
      <c r="AU46" s="136"/>
      <c r="AV46" s="103" t="s">
        <v>233</v>
      </c>
      <c r="AW46" s="104" t="s">
        <v>233</v>
      </c>
      <c r="AX46" s="104"/>
      <c r="AY46" s="104"/>
      <c r="AZ46" s="104"/>
      <c r="BA46" s="104"/>
      <c r="BB46" s="104"/>
      <c r="BC46" s="104"/>
      <c r="BD46" s="104"/>
      <c r="BE46" s="104"/>
      <c r="BF46" s="104"/>
      <c r="BG46" s="103"/>
      <c r="BH46" s="138"/>
      <c r="BI46" s="104"/>
      <c r="BJ46" s="136"/>
      <c r="BK46" s="104" t="s">
        <v>233</v>
      </c>
      <c r="BL46" s="104"/>
      <c r="BM46" s="104"/>
      <c r="BN46" s="104"/>
      <c r="BO46" s="104"/>
      <c r="BP46" s="104"/>
      <c r="BQ46" s="104"/>
      <c r="BR46" s="104"/>
      <c r="BS46" s="104"/>
      <c r="BT46" s="104"/>
      <c r="BU46" s="135"/>
      <c r="BV46" s="104"/>
      <c r="BW46" s="104"/>
      <c r="BX46" s="105"/>
      <c r="BY46" s="139"/>
      <c r="BZ46" s="137"/>
      <c r="CA46" s="104"/>
      <c r="CB46" s="104" t="s">
        <v>233</v>
      </c>
      <c r="CC46" s="123"/>
      <c r="CD46" s="103"/>
      <c r="CE46" s="104"/>
      <c r="CF46" s="104"/>
      <c r="CG46" s="123" t="s">
        <v>233</v>
      </c>
      <c r="CH46" s="123"/>
      <c r="CI46" s="123"/>
      <c r="CJ46" s="123" t="s">
        <v>233</v>
      </c>
      <c r="CK46" s="123"/>
      <c r="CL46" s="104"/>
      <c r="CM46" s="153"/>
      <c r="CN46" s="139"/>
      <c r="CO46" s="104" t="s">
        <v>233</v>
      </c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/>
      <c r="DB46" s="135"/>
      <c r="DC46" s="105"/>
    </row>
    <row r="47" spans="2:107" s="107" customFormat="1" ht="46.8" x14ac:dyDescent="0.3">
      <c r="B47" s="108">
        <v>46</v>
      </c>
      <c r="C47" s="36" t="s">
        <v>149</v>
      </c>
      <c r="D47" s="36" t="s">
        <v>150</v>
      </c>
      <c r="E47" s="103"/>
      <c r="F47" s="104"/>
      <c r="G47" s="104" t="s">
        <v>233</v>
      </c>
      <c r="H47" s="104"/>
      <c r="I47" s="104"/>
      <c r="J47" s="123"/>
      <c r="K47" s="123"/>
      <c r="L47" s="123"/>
      <c r="M47" s="135"/>
      <c r="N47" s="136"/>
      <c r="O47" s="137"/>
      <c r="P47" s="135"/>
      <c r="Q47" s="135"/>
      <c r="R47" s="135"/>
      <c r="S47" s="135"/>
      <c r="T47" s="135"/>
      <c r="U47" s="135"/>
      <c r="V47" s="105"/>
      <c r="W47" s="104"/>
      <c r="X47" s="123"/>
      <c r="Y47" s="123"/>
      <c r="Z47" s="123"/>
      <c r="AA47" s="123"/>
      <c r="AB47" s="123"/>
      <c r="AC47" s="123"/>
      <c r="AD47" s="123"/>
      <c r="AE47" s="123"/>
      <c r="AF47" s="123"/>
      <c r="AG47" s="104"/>
      <c r="AH47" s="105"/>
      <c r="AI47" s="103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35"/>
      <c r="AU47" s="136"/>
      <c r="AV47" s="103"/>
      <c r="AW47" s="104"/>
      <c r="AX47" s="104"/>
      <c r="AY47" s="104"/>
      <c r="AZ47" s="104"/>
      <c r="BA47" s="104"/>
      <c r="BB47" s="104" t="s">
        <v>233</v>
      </c>
      <c r="BC47" s="104"/>
      <c r="BD47" s="104"/>
      <c r="BE47" s="104"/>
      <c r="BF47" s="104"/>
      <c r="BG47" s="103"/>
      <c r="BH47" s="138"/>
      <c r="BI47" s="104"/>
      <c r="BJ47" s="136"/>
      <c r="BK47" s="104"/>
      <c r="BL47" s="104"/>
      <c r="BM47" s="104"/>
      <c r="BN47" s="104"/>
      <c r="BO47" s="104"/>
      <c r="BP47" s="104"/>
      <c r="BQ47" s="104"/>
      <c r="BR47" s="104" t="s">
        <v>233</v>
      </c>
      <c r="BS47" s="104" t="s">
        <v>233</v>
      </c>
      <c r="BT47" s="104"/>
      <c r="BU47" s="135"/>
      <c r="BV47" s="104"/>
      <c r="BW47" s="104"/>
      <c r="BX47" s="105"/>
      <c r="BY47" s="139"/>
      <c r="BZ47" s="137"/>
      <c r="CA47" s="104"/>
      <c r="CB47" s="104"/>
      <c r="CC47" s="123"/>
      <c r="CD47" s="103"/>
      <c r="CE47" s="104"/>
      <c r="CF47" s="104"/>
      <c r="CG47" s="123"/>
      <c r="CH47" s="123"/>
      <c r="CI47" s="123"/>
      <c r="CJ47" s="123"/>
      <c r="CK47" s="123"/>
      <c r="CL47" s="104"/>
      <c r="CM47" s="153"/>
      <c r="CN47" s="139"/>
      <c r="CO47" s="104"/>
      <c r="CP47" s="104"/>
      <c r="CQ47" s="104"/>
      <c r="CR47" s="104"/>
      <c r="CS47" s="104"/>
      <c r="CT47" s="104"/>
      <c r="CU47" s="104"/>
      <c r="CV47" s="104"/>
      <c r="CW47" s="104"/>
      <c r="CX47" s="104"/>
      <c r="CY47" s="104"/>
      <c r="CZ47" s="104"/>
      <c r="DA47" s="104"/>
      <c r="DB47" s="135"/>
      <c r="DC47" s="105"/>
    </row>
    <row r="48" spans="2:107" s="107" customFormat="1" ht="46.8" x14ac:dyDescent="0.3">
      <c r="B48" s="108">
        <v>47</v>
      </c>
      <c r="C48" s="36" t="s">
        <v>152</v>
      </c>
      <c r="D48" s="36" t="s">
        <v>153</v>
      </c>
      <c r="E48" s="103"/>
      <c r="F48" s="104"/>
      <c r="G48" s="104" t="s">
        <v>233</v>
      </c>
      <c r="H48" s="104"/>
      <c r="I48" s="104"/>
      <c r="J48" s="123"/>
      <c r="K48" s="123"/>
      <c r="L48" s="123"/>
      <c r="M48" s="135"/>
      <c r="N48" s="136"/>
      <c r="O48" s="137"/>
      <c r="P48" s="135"/>
      <c r="Q48" s="135" t="s">
        <v>233</v>
      </c>
      <c r="R48" s="135"/>
      <c r="S48" s="135"/>
      <c r="T48" s="135"/>
      <c r="U48" s="135"/>
      <c r="V48" s="105"/>
      <c r="W48" s="104"/>
      <c r="X48" s="123"/>
      <c r="Y48" s="123"/>
      <c r="Z48" s="123"/>
      <c r="AA48" s="123"/>
      <c r="AB48" s="123"/>
      <c r="AC48" s="123"/>
      <c r="AD48" s="123"/>
      <c r="AE48" s="123"/>
      <c r="AF48" s="123"/>
      <c r="AG48" s="104"/>
      <c r="AH48" s="105"/>
      <c r="AI48" s="103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35"/>
      <c r="AU48" s="136"/>
      <c r="AV48" s="103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3"/>
      <c r="BH48" s="138"/>
      <c r="BI48" s="104"/>
      <c r="BJ48" s="136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35"/>
      <c r="BV48" s="104"/>
      <c r="BW48" s="104"/>
      <c r="BX48" s="105"/>
      <c r="BY48" s="139"/>
      <c r="BZ48" s="137"/>
      <c r="CA48" s="104"/>
      <c r="CB48" s="104"/>
      <c r="CC48" s="123"/>
      <c r="CD48" s="103"/>
      <c r="CE48" s="104"/>
      <c r="CF48" s="104"/>
      <c r="CG48" s="123"/>
      <c r="CH48" s="123"/>
      <c r="CI48" s="123"/>
      <c r="CJ48" s="123"/>
      <c r="CK48" s="123"/>
      <c r="CL48" s="104"/>
      <c r="CM48" s="153"/>
      <c r="CN48" s="139"/>
      <c r="CO48" s="104"/>
      <c r="CP48" s="104"/>
      <c r="CQ48" s="104"/>
      <c r="CR48" s="104"/>
      <c r="CS48" s="104"/>
      <c r="CT48" s="104"/>
      <c r="CU48" s="104"/>
      <c r="CV48" s="104"/>
      <c r="CW48" s="104"/>
      <c r="CX48" s="104"/>
      <c r="CY48" s="104"/>
      <c r="CZ48" s="104"/>
      <c r="DA48" s="104" t="s">
        <v>233</v>
      </c>
      <c r="DB48" s="135"/>
      <c r="DC48" s="105"/>
    </row>
    <row r="49" spans="2:146" s="107" customFormat="1" ht="46.8" x14ac:dyDescent="0.3">
      <c r="B49" s="108">
        <v>48</v>
      </c>
      <c r="C49" s="36" t="s">
        <v>155</v>
      </c>
      <c r="D49" s="36" t="s">
        <v>156</v>
      </c>
      <c r="E49" s="103"/>
      <c r="F49" s="104"/>
      <c r="G49" s="104"/>
      <c r="H49" s="104"/>
      <c r="I49" s="104"/>
      <c r="J49" s="123" t="s">
        <v>233</v>
      </c>
      <c r="K49" s="123"/>
      <c r="L49" s="123"/>
      <c r="M49" s="135"/>
      <c r="N49" s="136"/>
      <c r="O49" s="137"/>
      <c r="P49" s="135"/>
      <c r="Q49" s="135"/>
      <c r="R49" s="135"/>
      <c r="S49" s="135"/>
      <c r="T49" s="135"/>
      <c r="U49" s="135"/>
      <c r="V49" s="105"/>
      <c r="W49" s="104"/>
      <c r="X49" s="123"/>
      <c r="Y49" s="123"/>
      <c r="Z49" s="123"/>
      <c r="AA49" s="123"/>
      <c r="AB49" s="123"/>
      <c r="AC49" s="123"/>
      <c r="AD49" s="123"/>
      <c r="AE49" s="123"/>
      <c r="AF49" s="123"/>
      <c r="AG49" s="104"/>
      <c r="AH49" s="105"/>
      <c r="AI49" s="103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35"/>
      <c r="AU49" s="136"/>
      <c r="AV49" s="103"/>
      <c r="AW49" s="104"/>
      <c r="AX49" s="104" t="s">
        <v>233</v>
      </c>
      <c r="AY49" s="104"/>
      <c r="AZ49" s="104"/>
      <c r="BA49" s="104"/>
      <c r="BB49" s="104"/>
      <c r="BC49" s="104"/>
      <c r="BD49" s="104"/>
      <c r="BE49" s="104"/>
      <c r="BF49" s="104"/>
      <c r="BG49" s="103"/>
      <c r="BH49" s="138"/>
      <c r="BI49" s="104"/>
      <c r="BJ49" s="136"/>
      <c r="BK49" s="104"/>
      <c r="BL49" s="104"/>
      <c r="BM49" s="104"/>
      <c r="BN49" s="104"/>
      <c r="BO49" s="104"/>
      <c r="BP49" s="104"/>
      <c r="BQ49" s="104"/>
      <c r="BR49" s="104"/>
      <c r="BS49" s="104"/>
      <c r="BT49" s="104"/>
      <c r="BU49" s="135"/>
      <c r="BV49" s="104"/>
      <c r="BW49" s="104"/>
      <c r="BX49" s="105"/>
      <c r="BY49" s="139"/>
      <c r="BZ49" s="137"/>
      <c r="CA49" s="104"/>
      <c r="CB49" s="104"/>
      <c r="CC49" s="123"/>
      <c r="CD49" s="103"/>
      <c r="CE49" s="104"/>
      <c r="CF49" s="104"/>
      <c r="CG49" s="123"/>
      <c r="CH49" s="123"/>
      <c r="CI49" s="123"/>
      <c r="CJ49" s="123"/>
      <c r="CK49" s="123"/>
      <c r="CL49" s="104"/>
      <c r="CM49" s="153"/>
      <c r="CN49" s="139"/>
      <c r="CO49" s="104"/>
      <c r="CP49" s="104"/>
      <c r="CQ49" s="104"/>
      <c r="CR49" s="104"/>
      <c r="CS49" s="104"/>
      <c r="CT49" s="104" t="s">
        <v>233</v>
      </c>
      <c r="CU49" s="104"/>
      <c r="CV49" s="104"/>
      <c r="CW49" s="104"/>
      <c r="CX49" s="104"/>
      <c r="CY49" s="104"/>
      <c r="CZ49" s="104"/>
      <c r="DA49" s="104"/>
      <c r="DB49" s="135"/>
      <c r="DC49" s="105"/>
    </row>
    <row r="50" spans="2:146" s="107" customFormat="1" ht="46.8" x14ac:dyDescent="0.3">
      <c r="B50" s="108">
        <v>49</v>
      </c>
      <c r="C50" s="36" t="s">
        <v>158</v>
      </c>
      <c r="D50" s="36" t="s">
        <v>159</v>
      </c>
      <c r="E50" s="103"/>
      <c r="F50" s="104"/>
      <c r="G50" s="104"/>
      <c r="H50" s="104" t="s">
        <v>233</v>
      </c>
      <c r="I50" s="104"/>
      <c r="J50" s="123"/>
      <c r="K50" s="123"/>
      <c r="L50" s="123" t="s">
        <v>233</v>
      </c>
      <c r="M50" s="135"/>
      <c r="N50" s="136"/>
      <c r="O50" s="137"/>
      <c r="P50" s="135"/>
      <c r="Q50" s="135"/>
      <c r="R50" s="135"/>
      <c r="S50" s="135"/>
      <c r="T50" s="135"/>
      <c r="U50" s="135"/>
      <c r="V50" s="105"/>
      <c r="W50" s="104"/>
      <c r="X50" s="123"/>
      <c r="Y50" s="123"/>
      <c r="Z50" s="123"/>
      <c r="AA50" s="123"/>
      <c r="AB50" s="123"/>
      <c r="AC50" s="123"/>
      <c r="AD50" s="123" t="s">
        <v>233</v>
      </c>
      <c r="AE50" s="123" t="s">
        <v>233</v>
      </c>
      <c r="AF50" s="123"/>
      <c r="AG50" s="104"/>
      <c r="AH50" s="105"/>
      <c r="AI50" s="103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35"/>
      <c r="AU50" s="136"/>
      <c r="AV50" s="103"/>
      <c r="AW50" s="104"/>
      <c r="AX50" s="104"/>
      <c r="AY50" s="104"/>
      <c r="AZ50" s="104"/>
      <c r="BA50" s="104"/>
      <c r="BB50" s="104"/>
      <c r="BC50" s="104"/>
      <c r="BD50" s="104"/>
      <c r="BE50" s="104"/>
      <c r="BF50" s="104"/>
      <c r="BG50" s="103"/>
      <c r="BH50" s="138"/>
      <c r="BI50" s="104"/>
      <c r="BJ50" s="136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35"/>
      <c r="BV50" s="104"/>
      <c r="BW50" s="104"/>
      <c r="BX50" s="105"/>
      <c r="BY50" s="139"/>
      <c r="BZ50" s="137"/>
      <c r="CA50" s="104"/>
      <c r="CB50" s="104"/>
      <c r="CC50" s="123"/>
      <c r="CD50" s="103"/>
      <c r="CE50" s="104"/>
      <c r="CF50" s="104"/>
      <c r="CG50" s="123"/>
      <c r="CH50" s="123"/>
      <c r="CI50" s="123"/>
      <c r="CJ50" s="123"/>
      <c r="CK50" s="123"/>
      <c r="CL50" s="104"/>
      <c r="CM50" s="153"/>
      <c r="CN50" s="139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/>
      <c r="DB50" s="135"/>
      <c r="DC50" s="105"/>
    </row>
    <row r="51" spans="2:146" s="107" customFormat="1" ht="31.2" x14ac:dyDescent="0.3">
      <c r="B51" s="108">
        <v>50</v>
      </c>
      <c r="C51" s="36" t="s">
        <v>161</v>
      </c>
      <c r="D51" s="36" t="s">
        <v>162</v>
      </c>
      <c r="E51" s="103" t="s">
        <v>233</v>
      </c>
      <c r="F51" s="104"/>
      <c r="G51" s="104"/>
      <c r="H51" s="104"/>
      <c r="I51" s="104"/>
      <c r="J51" s="123"/>
      <c r="K51" s="123"/>
      <c r="L51" s="123"/>
      <c r="M51" s="135"/>
      <c r="N51" s="136"/>
      <c r="O51" s="137"/>
      <c r="P51" s="135"/>
      <c r="Q51" s="135"/>
      <c r="R51" s="135"/>
      <c r="S51" s="135"/>
      <c r="T51" s="135"/>
      <c r="U51" s="135"/>
      <c r="V51" s="105"/>
      <c r="W51" s="104"/>
      <c r="X51" s="123"/>
      <c r="Y51" s="123"/>
      <c r="Z51" s="123"/>
      <c r="AA51" s="123"/>
      <c r="AB51" s="123"/>
      <c r="AC51" s="123"/>
      <c r="AD51" s="123"/>
      <c r="AE51" s="123"/>
      <c r="AF51" s="123"/>
      <c r="AG51" s="104"/>
      <c r="AH51" s="105"/>
      <c r="AI51" s="103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35"/>
      <c r="AU51" s="136"/>
      <c r="AV51" s="103"/>
      <c r="AW51" s="104" t="s">
        <v>233</v>
      </c>
      <c r="AX51" s="104"/>
      <c r="AY51" s="104"/>
      <c r="AZ51" s="104" t="s">
        <v>233</v>
      </c>
      <c r="BA51" s="104"/>
      <c r="BB51" s="104"/>
      <c r="BC51" s="104"/>
      <c r="BD51" s="104"/>
      <c r="BE51" s="104"/>
      <c r="BF51" s="104"/>
      <c r="BG51" s="103"/>
      <c r="BH51" s="138"/>
      <c r="BI51" s="104"/>
      <c r="BJ51" s="136"/>
      <c r="BK51" s="104" t="s">
        <v>233</v>
      </c>
      <c r="BL51" s="104"/>
      <c r="BM51" s="104"/>
      <c r="BN51" s="104"/>
      <c r="BO51" s="104"/>
      <c r="BP51" s="104"/>
      <c r="BQ51" s="104"/>
      <c r="BR51" s="104"/>
      <c r="BS51" s="104"/>
      <c r="BT51" s="104"/>
      <c r="BU51" s="135"/>
      <c r="BV51" s="104"/>
      <c r="BW51" s="104"/>
      <c r="BX51" s="105"/>
      <c r="BY51" s="139"/>
      <c r="BZ51" s="137"/>
      <c r="CA51" s="104"/>
      <c r="CB51" s="104"/>
      <c r="CC51" s="123"/>
      <c r="CD51" s="103"/>
      <c r="CE51" s="104"/>
      <c r="CF51" s="104"/>
      <c r="CG51" s="123"/>
      <c r="CH51" s="123"/>
      <c r="CI51" s="123"/>
      <c r="CJ51" s="123"/>
      <c r="CK51" s="123"/>
      <c r="CL51" s="104"/>
      <c r="CM51" s="153"/>
      <c r="CN51" s="139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/>
      <c r="DB51" s="135"/>
      <c r="DC51" s="105"/>
    </row>
    <row r="52" spans="2:146" s="107" customFormat="1" ht="31.2" x14ac:dyDescent="0.3">
      <c r="B52" s="108">
        <v>51</v>
      </c>
      <c r="C52" s="36" t="s">
        <v>164</v>
      </c>
      <c r="D52" s="36" t="s">
        <v>165</v>
      </c>
      <c r="E52" s="103"/>
      <c r="F52" s="104"/>
      <c r="G52" s="104"/>
      <c r="H52" s="104" t="s">
        <v>233</v>
      </c>
      <c r="I52" s="104"/>
      <c r="J52" s="123"/>
      <c r="K52" s="123"/>
      <c r="L52" s="123"/>
      <c r="M52" s="135"/>
      <c r="N52" s="136"/>
      <c r="O52" s="137"/>
      <c r="P52" s="135"/>
      <c r="Q52" s="135"/>
      <c r="R52" s="135"/>
      <c r="S52" s="135"/>
      <c r="T52" s="135"/>
      <c r="U52" s="135"/>
      <c r="V52" s="105"/>
      <c r="W52" s="104"/>
      <c r="X52" s="123"/>
      <c r="Y52" s="123"/>
      <c r="Z52" s="123"/>
      <c r="AA52" s="123"/>
      <c r="AB52" s="123"/>
      <c r="AC52" s="123"/>
      <c r="AD52" s="123"/>
      <c r="AE52" s="123"/>
      <c r="AF52" s="123"/>
      <c r="AG52" s="104"/>
      <c r="AH52" s="105"/>
      <c r="AI52" s="103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35"/>
      <c r="AU52" s="136"/>
      <c r="AV52" s="103"/>
      <c r="AW52" s="104"/>
      <c r="AX52" s="104" t="s">
        <v>233</v>
      </c>
      <c r="AY52" s="104"/>
      <c r="AZ52" s="104"/>
      <c r="BA52" s="104"/>
      <c r="BB52" s="104"/>
      <c r="BC52" s="104"/>
      <c r="BD52" s="104"/>
      <c r="BE52" s="104"/>
      <c r="BF52" s="104"/>
      <c r="BG52" s="103"/>
      <c r="BH52" s="138"/>
      <c r="BI52" s="104"/>
      <c r="BJ52" s="136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35"/>
      <c r="BV52" s="104"/>
      <c r="BW52" s="104"/>
      <c r="BX52" s="105"/>
      <c r="BY52" s="139"/>
      <c r="BZ52" s="137"/>
      <c r="CA52" s="104"/>
      <c r="CB52" s="104"/>
      <c r="CC52" s="123"/>
      <c r="CD52" s="103"/>
      <c r="CE52" s="104"/>
      <c r="CF52" s="104"/>
      <c r="CG52" s="123"/>
      <c r="CH52" s="123"/>
      <c r="CI52" s="123"/>
      <c r="CJ52" s="123"/>
      <c r="CK52" s="123"/>
      <c r="CL52" s="104"/>
      <c r="CM52" s="153"/>
      <c r="CN52" s="139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35"/>
      <c r="DC52" s="105"/>
    </row>
    <row r="53" spans="2:146" s="107" customFormat="1" ht="46.8" x14ac:dyDescent="0.3">
      <c r="B53" s="108">
        <v>52</v>
      </c>
      <c r="C53" s="36" t="s">
        <v>168</v>
      </c>
      <c r="D53" s="36" t="s">
        <v>169</v>
      </c>
      <c r="E53" s="103"/>
      <c r="F53" s="104" t="s">
        <v>233</v>
      </c>
      <c r="G53" s="104"/>
      <c r="H53" s="104" t="s">
        <v>233</v>
      </c>
      <c r="I53" s="104"/>
      <c r="J53" s="123"/>
      <c r="K53" s="123"/>
      <c r="L53" s="123"/>
      <c r="M53" s="135"/>
      <c r="N53" s="136"/>
      <c r="O53" s="137"/>
      <c r="P53" s="135"/>
      <c r="Q53" s="135"/>
      <c r="R53" s="135" t="s">
        <v>233</v>
      </c>
      <c r="S53" s="135" t="s">
        <v>233</v>
      </c>
      <c r="T53" s="135" t="s">
        <v>233</v>
      </c>
      <c r="U53" s="135" t="s">
        <v>233</v>
      </c>
      <c r="V53" s="105"/>
      <c r="W53" s="104"/>
      <c r="X53" s="123"/>
      <c r="Y53" s="123"/>
      <c r="Z53" s="123"/>
      <c r="AA53" s="123"/>
      <c r="AB53" s="123"/>
      <c r="AC53" s="123"/>
      <c r="AD53" s="123"/>
      <c r="AE53" s="123"/>
      <c r="AF53" s="123"/>
      <c r="AG53" s="104"/>
      <c r="AH53" s="105"/>
      <c r="AI53" s="103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35"/>
      <c r="AU53" s="136"/>
      <c r="AV53" s="103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3"/>
      <c r="BH53" s="138"/>
      <c r="BI53" s="104"/>
      <c r="BJ53" s="136"/>
      <c r="BK53" s="104" t="s">
        <v>233</v>
      </c>
      <c r="BL53" s="104" t="s">
        <v>233</v>
      </c>
      <c r="BM53" s="104"/>
      <c r="BN53" s="104"/>
      <c r="BO53" s="104"/>
      <c r="BP53" s="104"/>
      <c r="BQ53" s="104"/>
      <c r="BR53" s="104"/>
      <c r="BS53" s="104"/>
      <c r="BT53" s="104"/>
      <c r="BU53" s="135"/>
      <c r="BV53" s="104"/>
      <c r="BW53" s="104"/>
      <c r="BX53" s="105"/>
      <c r="BY53" s="139"/>
      <c r="BZ53" s="137"/>
      <c r="CA53" s="104"/>
      <c r="CB53" s="104"/>
      <c r="CC53" s="123"/>
      <c r="CD53" s="103"/>
      <c r="CE53" s="104"/>
      <c r="CF53" s="104"/>
      <c r="CG53" s="123"/>
      <c r="CH53" s="123"/>
      <c r="CI53" s="123"/>
      <c r="CJ53" s="123"/>
      <c r="CK53" s="123"/>
      <c r="CL53" s="104"/>
      <c r="CM53" s="153"/>
      <c r="CN53" s="139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/>
      <c r="DB53" s="135"/>
      <c r="DC53" s="105"/>
    </row>
    <row r="54" spans="2:146" s="107" customFormat="1" ht="31.2" x14ac:dyDescent="0.3">
      <c r="B54" s="108">
        <v>53</v>
      </c>
      <c r="C54" s="36" t="s">
        <v>171</v>
      </c>
      <c r="D54" s="36" t="s">
        <v>172</v>
      </c>
      <c r="E54" s="103"/>
      <c r="F54" s="104"/>
      <c r="G54" s="104"/>
      <c r="H54" s="104" t="s">
        <v>233</v>
      </c>
      <c r="I54" s="104"/>
      <c r="J54" s="123"/>
      <c r="K54" s="123"/>
      <c r="L54" s="123"/>
      <c r="M54" s="135"/>
      <c r="N54" s="136"/>
      <c r="O54" s="137"/>
      <c r="P54" s="135"/>
      <c r="Q54" s="135"/>
      <c r="R54" s="135"/>
      <c r="S54" s="135"/>
      <c r="T54" s="135"/>
      <c r="U54" s="135"/>
      <c r="V54" s="105"/>
      <c r="W54" s="104"/>
      <c r="X54" s="123"/>
      <c r="Y54" s="123" t="s">
        <v>233</v>
      </c>
      <c r="Z54" s="123"/>
      <c r="AA54" s="123"/>
      <c r="AB54" s="123"/>
      <c r="AC54" s="123" t="s">
        <v>233</v>
      </c>
      <c r="AD54" s="123"/>
      <c r="AE54" s="123"/>
      <c r="AF54" s="123"/>
      <c r="AG54" s="104"/>
      <c r="AH54" s="105"/>
      <c r="AI54" s="103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35"/>
      <c r="AU54" s="136"/>
      <c r="AV54" s="103" t="s">
        <v>233</v>
      </c>
      <c r="AW54" s="104" t="s">
        <v>233</v>
      </c>
      <c r="AX54" s="104"/>
      <c r="AY54" s="104"/>
      <c r="AZ54" s="104"/>
      <c r="BA54" s="104"/>
      <c r="BB54" s="104"/>
      <c r="BC54" s="104"/>
      <c r="BD54" s="104"/>
      <c r="BE54" s="104" t="s">
        <v>233</v>
      </c>
      <c r="BF54" s="104"/>
      <c r="BG54" s="103" t="s">
        <v>233</v>
      </c>
      <c r="BH54" s="138"/>
      <c r="BI54" s="104"/>
      <c r="BJ54" s="136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35"/>
      <c r="BV54" s="104"/>
      <c r="BW54" s="104"/>
      <c r="BX54" s="105"/>
      <c r="BY54" s="139"/>
      <c r="BZ54" s="137"/>
      <c r="CA54" s="104"/>
      <c r="CB54" s="104"/>
      <c r="CC54" s="123"/>
      <c r="CD54" s="103"/>
      <c r="CE54" s="104"/>
      <c r="CF54" s="104"/>
      <c r="CG54" s="123"/>
      <c r="CH54" s="123"/>
      <c r="CI54" s="123"/>
      <c r="CJ54" s="123"/>
      <c r="CK54" s="123"/>
      <c r="CL54" s="104"/>
      <c r="CM54" s="153"/>
      <c r="CN54" s="139"/>
      <c r="CO54" s="104" t="s">
        <v>233</v>
      </c>
      <c r="CP54" s="104" t="s">
        <v>233</v>
      </c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/>
      <c r="DB54" s="135"/>
      <c r="DC54" s="105"/>
    </row>
    <row r="55" spans="2:146" s="107" customFormat="1" ht="31.8" thickBot="1" x14ac:dyDescent="0.35">
      <c r="B55" s="109">
        <v>54</v>
      </c>
      <c r="C55" s="63" t="s">
        <v>174</v>
      </c>
      <c r="D55" s="63" t="s">
        <v>175</v>
      </c>
      <c r="E55" s="110"/>
      <c r="F55" s="111"/>
      <c r="G55" s="111" t="s">
        <v>233</v>
      </c>
      <c r="H55" s="111" t="s">
        <v>233</v>
      </c>
      <c r="I55" s="111"/>
      <c r="J55" s="140"/>
      <c r="K55" s="140"/>
      <c r="L55" s="140"/>
      <c r="M55" s="141"/>
      <c r="N55" s="142"/>
      <c r="O55" s="143"/>
      <c r="P55" s="141"/>
      <c r="Q55" s="141"/>
      <c r="R55" s="141"/>
      <c r="S55" s="141"/>
      <c r="T55" s="141"/>
      <c r="U55" s="141"/>
      <c r="V55" s="112"/>
      <c r="W55" s="111"/>
      <c r="X55" s="140"/>
      <c r="Y55" s="140"/>
      <c r="Z55" s="140"/>
      <c r="AA55" s="140"/>
      <c r="AB55" s="140"/>
      <c r="AC55" s="140"/>
      <c r="AD55" s="140"/>
      <c r="AE55" s="140"/>
      <c r="AF55" s="140"/>
      <c r="AG55" s="111"/>
      <c r="AH55" s="112"/>
      <c r="AI55" s="110"/>
      <c r="AJ55" s="111"/>
      <c r="AK55" s="111" t="s">
        <v>233</v>
      </c>
      <c r="AL55" s="111"/>
      <c r="AM55" s="111"/>
      <c r="AN55" s="111"/>
      <c r="AO55" s="111"/>
      <c r="AP55" s="111"/>
      <c r="AQ55" s="111"/>
      <c r="AR55" s="111"/>
      <c r="AS55" s="111"/>
      <c r="AT55" s="141"/>
      <c r="AU55" s="142"/>
      <c r="AV55" s="110"/>
      <c r="AW55" s="111"/>
      <c r="AX55" s="111" t="s">
        <v>233</v>
      </c>
      <c r="AY55" s="111"/>
      <c r="AZ55" s="111"/>
      <c r="BA55" s="111"/>
      <c r="BB55" s="111"/>
      <c r="BC55" s="111"/>
      <c r="BD55" s="111"/>
      <c r="BE55" s="111"/>
      <c r="BF55" s="111"/>
      <c r="BG55" s="110"/>
      <c r="BH55" s="144"/>
      <c r="BI55" s="111"/>
      <c r="BJ55" s="142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41"/>
      <c r="BV55" s="111"/>
      <c r="BW55" s="111"/>
      <c r="BX55" s="112"/>
      <c r="BY55" s="145"/>
      <c r="BZ55" s="143"/>
      <c r="CA55" s="111"/>
      <c r="CB55" s="111"/>
      <c r="CC55" s="140"/>
      <c r="CD55" s="110"/>
      <c r="CE55" s="111"/>
      <c r="CF55" s="111"/>
      <c r="CG55" s="140"/>
      <c r="CH55" s="140"/>
      <c r="CI55" s="140"/>
      <c r="CJ55" s="140"/>
      <c r="CK55" s="140"/>
      <c r="CL55" s="111"/>
      <c r="CM55" s="154"/>
      <c r="CN55" s="145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  <c r="DB55" s="141"/>
      <c r="DC55" s="112"/>
    </row>
    <row r="56" spans="2:146" s="114" customFormat="1" ht="16.2" thickTop="1" x14ac:dyDescent="0.3">
      <c r="B56" s="124"/>
      <c r="C56" s="125" t="s">
        <v>238</v>
      </c>
      <c r="D56" s="67">
        <f>COUNTA(D5:D55)</f>
        <v>51</v>
      </c>
      <c r="E56" s="70">
        <f>COUNTA(E5:E55)</f>
        <v>4</v>
      </c>
      <c r="F56" s="68">
        <f t="shared" ref="F56:BQ56" si="0">COUNTA(F5:F55)</f>
        <v>13</v>
      </c>
      <c r="G56" s="68">
        <f t="shared" si="0"/>
        <v>18</v>
      </c>
      <c r="H56" s="68">
        <f t="shared" si="0"/>
        <v>23</v>
      </c>
      <c r="I56" s="68">
        <f t="shared" si="0"/>
        <v>3</v>
      </c>
      <c r="J56" s="68">
        <f t="shared" si="0"/>
        <v>6</v>
      </c>
      <c r="K56" s="68">
        <f t="shared" si="0"/>
        <v>3</v>
      </c>
      <c r="L56" s="68">
        <f t="shared" si="0"/>
        <v>5</v>
      </c>
      <c r="M56" s="68">
        <f>COUNTA(M5:M55)</f>
        <v>1</v>
      </c>
      <c r="N56" s="71">
        <f t="shared" si="0"/>
        <v>2</v>
      </c>
      <c r="O56" s="72">
        <f t="shared" si="0"/>
        <v>1</v>
      </c>
      <c r="P56" s="68">
        <f t="shared" si="0"/>
        <v>1</v>
      </c>
      <c r="Q56" s="68">
        <f t="shared" si="0"/>
        <v>1</v>
      </c>
      <c r="R56" s="68">
        <f t="shared" si="0"/>
        <v>1</v>
      </c>
      <c r="S56" s="68">
        <f t="shared" si="0"/>
        <v>1</v>
      </c>
      <c r="T56" s="68">
        <f t="shared" si="0"/>
        <v>1</v>
      </c>
      <c r="U56" s="68">
        <f t="shared" si="0"/>
        <v>7</v>
      </c>
      <c r="V56" s="69">
        <f t="shared" si="0"/>
        <v>1</v>
      </c>
      <c r="W56" s="70">
        <f t="shared" si="0"/>
        <v>1</v>
      </c>
      <c r="X56" s="68">
        <f t="shared" si="0"/>
        <v>1</v>
      </c>
      <c r="Y56" s="68">
        <f t="shared" si="0"/>
        <v>3</v>
      </c>
      <c r="Z56" s="68">
        <f t="shared" si="0"/>
        <v>1</v>
      </c>
      <c r="AA56" s="68">
        <f t="shared" si="0"/>
        <v>1</v>
      </c>
      <c r="AB56" s="68">
        <f t="shared" si="0"/>
        <v>1</v>
      </c>
      <c r="AC56" s="68">
        <f t="shared" si="0"/>
        <v>8</v>
      </c>
      <c r="AD56" s="68">
        <f t="shared" si="0"/>
        <v>1</v>
      </c>
      <c r="AE56" s="68">
        <f t="shared" si="0"/>
        <v>1</v>
      </c>
      <c r="AF56" s="68">
        <f t="shared" si="0"/>
        <v>2</v>
      </c>
      <c r="AG56" s="68">
        <f t="shared" si="0"/>
        <v>1</v>
      </c>
      <c r="AH56" s="71">
        <f t="shared" si="0"/>
        <v>1</v>
      </c>
      <c r="AI56" s="72">
        <f t="shared" si="0"/>
        <v>1</v>
      </c>
      <c r="AJ56" s="68">
        <f t="shared" si="0"/>
        <v>1</v>
      </c>
      <c r="AK56" s="68">
        <f t="shared" si="0"/>
        <v>6</v>
      </c>
      <c r="AL56" s="68">
        <f t="shared" si="0"/>
        <v>1</v>
      </c>
      <c r="AM56" s="68">
        <f t="shared" si="0"/>
        <v>1</v>
      </c>
      <c r="AN56" s="68">
        <f t="shared" si="0"/>
        <v>1</v>
      </c>
      <c r="AO56" s="68">
        <f t="shared" si="0"/>
        <v>1</v>
      </c>
      <c r="AP56" s="68">
        <f t="shared" si="0"/>
        <v>1</v>
      </c>
      <c r="AQ56" s="68">
        <f t="shared" si="0"/>
        <v>1</v>
      </c>
      <c r="AR56" s="68">
        <f t="shared" si="0"/>
        <v>3</v>
      </c>
      <c r="AS56" s="68">
        <f t="shared" si="0"/>
        <v>1</v>
      </c>
      <c r="AT56" s="68">
        <f t="shared" si="0"/>
        <v>1</v>
      </c>
      <c r="AU56" s="69">
        <f t="shared" si="0"/>
        <v>1</v>
      </c>
      <c r="AV56" s="70">
        <f t="shared" si="0"/>
        <v>5</v>
      </c>
      <c r="AW56" s="68">
        <f t="shared" si="0"/>
        <v>12</v>
      </c>
      <c r="AX56" s="68">
        <f t="shared" si="0"/>
        <v>6</v>
      </c>
      <c r="AY56" s="68">
        <f t="shared" si="0"/>
        <v>1</v>
      </c>
      <c r="AZ56" s="68">
        <f t="shared" si="0"/>
        <v>8</v>
      </c>
      <c r="BA56" s="68">
        <f t="shared" si="0"/>
        <v>1</v>
      </c>
      <c r="BB56" s="68">
        <f t="shared" si="0"/>
        <v>1</v>
      </c>
      <c r="BC56" s="68">
        <f t="shared" si="0"/>
        <v>2</v>
      </c>
      <c r="BD56" s="68">
        <f t="shared" si="0"/>
        <v>1</v>
      </c>
      <c r="BE56" s="68">
        <f t="shared" si="0"/>
        <v>1</v>
      </c>
      <c r="BF56" s="71">
        <f t="shared" si="0"/>
        <v>1</v>
      </c>
      <c r="BG56" s="72">
        <f t="shared" si="0"/>
        <v>3</v>
      </c>
      <c r="BH56" s="68">
        <f t="shared" si="0"/>
        <v>1</v>
      </c>
      <c r="BI56" s="68">
        <f>COUNTA(BI5:BI55)</f>
        <v>1</v>
      </c>
      <c r="BJ56" s="69">
        <f t="shared" si="0"/>
        <v>2</v>
      </c>
      <c r="BK56" s="70">
        <f t="shared" si="0"/>
        <v>15</v>
      </c>
      <c r="BL56" s="68">
        <f t="shared" si="0"/>
        <v>9</v>
      </c>
      <c r="BM56" s="68">
        <f t="shared" si="0"/>
        <v>2</v>
      </c>
      <c r="BN56" s="68">
        <f t="shared" si="0"/>
        <v>1</v>
      </c>
      <c r="BO56" s="68">
        <f t="shared" si="0"/>
        <v>1</v>
      </c>
      <c r="BP56" s="68">
        <f t="shared" si="0"/>
        <v>1</v>
      </c>
      <c r="BQ56" s="68">
        <f t="shared" si="0"/>
        <v>1</v>
      </c>
      <c r="BR56" s="68">
        <f t="shared" ref="BR56:DC56" si="1">COUNTA(BR5:BR55)</f>
        <v>1</v>
      </c>
      <c r="BS56" s="68">
        <f t="shared" si="1"/>
        <v>1</v>
      </c>
      <c r="BT56" s="68">
        <f t="shared" si="1"/>
        <v>1</v>
      </c>
      <c r="BU56" s="68">
        <f>COUNTA(BU5:BU55)</f>
        <v>1</v>
      </c>
      <c r="BV56" s="68">
        <f t="shared" si="1"/>
        <v>1</v>
      </c>
      <c r="BW56" s="68">
        <f t="shared" si="1"/>
        <v>2</v>
      </c>
      <c r="BX56" s="71">
        <f t="shared" si="1"/>
        <v>2</v>
      </c>
      <c r="BY56" s="72">
        <f t="shared" si="1"/>
        <v>1</v>
      </c>
      <c r="BZ56" s="68">
        <f t="shared" si="1"/>
        <v>1</v>
      </c>
      <c r="CA56" s="68">
        <f t="shared" si="1"/>
        <v>1</v>
      </c>
      <c r="CB56" s="68">
        <f t="shared" si="1"/>
        <v>1</v>
      </c>
      <c r="CC56" s="69">
        <f t="shared" si="1"/>
        <v>4</v>
      </c>
      <c r="CD56" s="70">
        <f t="shared" si="1"/>
        <v>1</v>
      </c>
      <c r="CE56" s="68">
        <f t="shared" si="1"/>
        <v>1</v>
      </c>
      <c r="CF56" s="68">
        <f t="shared" si="1"/>
        <v>1</v>
      </c>
      <c r="CG56" s="68">
        <f t="shared" si="1"/>
        <v>2</v>
      </c>
      <c r="CH56" s="68">
        <f t="shared" si="1"/>
        <v>1</v>
      </c>
      <c r="CI56" s="68">
        <f t="shared" si="1"/>
        <v>1</v>
      </c>
      <c r="CJ56" s="68">
        <f t="shared" si="1"/>
        <v>2</v>
      </c>
      <c r="CK56" s="68">
        <f t="shared" si="1"/>
        <v>1</v>
      </c>
      <c r="CL56" s="68">
        <f t="shared" si="1"/>
        <v>1</v>
      </c>
      <c r="CM56" s="69">
        <f t="shared" si="1"/>
        <v>1</v>
      </c>
      <c r="CN56" s="70">
        <f t="shared" si="1"/>
        <v>1</v>
      </c>
      <c r="CO56" s="68">
        <f t="shared" si="1"/>
        <v>9</v>
      </c>
      <c r="CP56" s="68">
        <f t="shared" si="1"/>
        <v>4</v>
      </c>
      <c r="CQ56" s="68">
        <f t="shared" si="1"/>
        <v>1</v>
      </c>
      <c r="CR56" s="68">
        <f t="shared" si="1"/>
        <v>1</v>
      </c>
      <c r="CS56" s="68">
        <f t="shared" si="1"/>
        <v>3</v>
      </c>
      <c r="CT56" s="68">
        <f t="shared" si="1"/>
        <v>4</v>
      </c>
      <c r="CU56" s="68">
        <f t="shared" si="1"/>
        <v>1</v>
      </c>
      <c r="CV56" s="68">
        <f t="shared" si="1"/>
        <v>2</v>
      </c>
      <c r="CW56" s="68">
        <f t="shared" si="1"/>
        <v>1</v>
      </c>
      <c r="CX56" s="68">
        <f t="shared" si="1"/>
        <v>1</v>
      </c>
      <c r="CY56" s="68">
        <f t="shared" si="1"/>
        <v>1</v>
      </c>
      <c r="CZ56" s="68">
        <f t="shared" si="1"/>
        <v>1</v>
      </c>
      <c r="DA56" s="68">
        <f t="shared" si="1"/>
        <v>3</v>
      </c>
      <c r="DB56" s="68">
        <f t="shared" si="1"/>
        <v>1</v>
      </c>
      <c r="DC56" s="71">
        <f t="shared" si="1"/>
        <v>1</v>
      </c>
    </row>
    <row r="57" spans="2:146" ht="16.2" thickBot="1" x14ac:dyDescent="0.35">
      <c r="B57" s="126"/>
      <c r="C57" s="127" t="s">
        <v>239</v>
      </c>
      <c r="D57" s="75">
        <v>1</v>
      </c>
      <c r="E57" s="76">
        <f>E56/SUM($E$56:$N$56)</f>
        <v>5.128205128205128E-2</v>
      </c>
      <c r="F57" s="76">
        <f>F56/SUM($E$56:$N$56)</f>
        <v>0.16666666666666666</v>
      </c>
      <c r="G57" s="76">
        <f t="shared" ref="G57:M57" si="2">G56/SUM($E$56:$N$56)</f>
        <v>0.23076923076923078</v>
      </c>
      <c r="H57" s="76">
        <f t="shared" si="2"/>
        <v>0.29487179487179488</v>
      </c>
      <c r="I57" s="76">
        <f t="shared" si="2"/>
        <v>3.8461538461538464E-2</v>
      </c>
      <c r="J57" s="76">
        <f t="shared" si="2"/>
        <v>7.6923076923076927E-2</v>
      </c>
      <c r="K57" s="76">
        <f t="shared" si="2"/>
        <v>3.8461538461538464E-2</v>
      </c>
      <c r="L57" s="76">
        <f t="shared" si="2"/>
        <v>6.4102564102564097E-2</v>
      </c>
      <c r="M57" s="76">
        <f t="shared" si="2"/>
        <v>1.282051282051282E-2</v>
      </c>
      <c r="N57" s="76">
        <f>N56/SUM($E$56:$N$56)</f>
        <v>2.564102564102564E-2</v>
      </c>
      <c r="O57" s="76">
        <f>O56/SUM($O$56:$V$56)</f>
        <v>7.1428571428571425E-2</v>
      </c>
      <c r="P57" s="76">
        <f t="shared" ref="P57:V57" si="3">P56/SUM($O$56:$V$56)</f>
        <v>7.1428571428571425E-2</v>
      </c>
      <c r="Q57" s="76">
        <f t="shared" si="3"/>
        <v>7.1428571428571425E-2</v>
      </c>
      <c r="R57" s="76">
        <f t="shared" si="3"/>
        <v>7.1428571428571425E-2</v>
      </c>
      <c r="S57" s="76">
        <f t="shared" si="3"/>
        <v>7.1428571428571425E-2</v>
      </c>
      <c r="T57" s="76">
        <f t="shared" si="3"/>
        <v>7.1428571428571425E-2</v>
      </c>
      <c r="U57" s="76">
        <f t="shared" si="3"/>
        <v>0.5</v>
      </c>
      <c r="V57" s="76">
        <f t="shared" si="3"/>
        <v>7.1428571428571425E-2</v>
      </c>
      <c r="W57" s="76">
        <f>W56/SUM($W$56:$AH$56)</f>
        <v>4.5454545454545456E-2</v>
      </c>
      <c r="X57" s="76">
        <f t="shared" ref="X57:AH57" si="4">X56/SUM($W$56:$AH$56)</f>
        <v>4.5454545454545456E-2</v>
      </c>
      <c r="Y57" s="76">
        <f t="shared" si="4"/>
        <v>0.13636363636363635</v>
      </c>
      <c r="Z57" s="76">
        <f t="shared" si="4"/>
        <v>4.5454545454545456E-2</v>
      </c>
      <c r="AA57" s="76">
        <f t="shared" si="4"/>
        <v>4.5454545454545456E-2</v>
      </c>
      <c r="AB57" s="76">
        <f t="shared" si="4"/>
        <v>4.5454545454545456E-2</v>
      </c>
      <c r="AC57" s="76">
        <f t="shared" si="4"/>
        <v>0.36363636363636365</v>
      </c>
      <c r="AD57" s="76">
        <f t="shared" si="4"/>
        <v>4.5454545454545456E-2</v>
      </c>
      <c r="AE57" s="76">
        <f t="shared" si="4"/>
        <v>4.5454545454545456E-2</v>
      </c>
      <c r="AF57" s="76">
        <f t="shared" si="4"/>
        <v>9.0909090909090912E-2</v>
      </c>
      <c r="AG57" s="76">
        <f t="shared" si="4"/>
        <v>4.5454545454545456E-2</v>
      </c>
      <c r="AH57" s="85">
        <f t="shared" si="4"/>
        <v>4.5454545454545456E-2</v>
      </c>
      <c r="AI57" s="87">
        <f>AI56/SUM($AI$56:$AU$56)</f>
        <v>0.05</v>
      </c>
      <c r="AJ57" s="86">
        <f t="shared" ref="AJ57:AU57" si="5">AJ56/SUM($AI$56:$AU$56)</f>
        <v>0.05</v>
      </c>
      <c r="AK57" s="86">
        <f t="shared" si="5"/>
        <v>0.3</v>
      </c>
      <c r="AL57" s="86">
        <f t="shared" si="5"/>
        <v>0.05</v>
      </c>
      <c r="AM57" s="86">
        <f t="shared" si="5"/>
        <v>0.05</v>
      </c>
      <c r="AN57" s="86">
        <f>AN56/SUM($AI$56:$AU$56)</f>
        <v>0.05</v>
      </c>
      <c r="AO57" s="86">
        <f t="shared" si="5"/>
        <v>0.05</v>
      </c>
      <c r="AP57" s="86">
        <f t="shared" si="5"/>
        <v>0.05</v>
      </c>
      <c r="AQ57" s="86">
        <f t="shared" si="5"/>
        <v>0.05</v>
      </c>
      <c r="AR57" s="86">
        <f t="shared" si="5"/>
        <v>0.15</v>
      </c>
      <c r="AS57" s="86">
        <f t="shared" si="5"/>
        <v>0.05</v>
      </c>
      <c r="AT57" s="86">
        <f t="shared" si="5"/>
        <v>0.05</v>
      </c>
      <c r="AU57" s="89">
        <f t="shared" si="5"/>
        <v>0.05</v>
      </c>
      <c r="AV57" s="87">
        <f>AV56/SUM($AV$56:$BF$56)</f>
        <v>0.12820512820512819</v>
      </c>
      <c r="AW57" s="86">
        <f t="shared" ref="AW57:BF57" si="6">AW56/SUM($AV$56:$BF$56)</f>
        <v>0.30769230769230771</v>
      </c>
      <c r="AX57" s="86">
        <f t="shared" si="6"/>
        <v>0.15384615384615385</v>
      </c>
      <c r="AY57" s="86">
        <f t="shared" si="6"/>
        <v>2.564102564102564E-2</v>
      </c>
      <c r="AZ57" s="86">
        <f t="shared" si="6"/>
        <v>0.20512820512820512</v>
      </c>
      <c r="BA57" s="86">
        <f t="shared" si="6"/>
        <v>2.564102564102564E-2</v>
      </c>
      <c r="BB57" s="86">
        <f t="shared" si="6"/>
        <v>2.564102564102564E-2</v>
      </c>
      <c r="BC57" s="86">
        <f t="shared" si="6"/>
        <v>5.128205128205128E-2</v>
      </c>
      <c r="BD57" s="86">
        <f t="shared" si="6"/>
        <v>2.564102564102564E-2</v>
      </c>
      <c r="BE57" s="86">
        <f t="shared" si="6"/>
        <v>2.564102564102564E-2</v>
      </c>
      <c r="BF57" s="89">
        <f t="shared" si="6"/>
        <v>2.564102564102564E-2</v>
      </c>
      <c r="BG57" s="155">
        <f>BG56/SUM($BG$56:$BJ$56)</f>
        <v>0.42857142857142855</v>
      </c>
      <c r="BH57" s="76">
        <f t="shared" ref="BH57:BJ57" si="7">BH56/SUM($BG$56:$BJ$56)</f>
        <v>0.14285714285714285</v>
      </c>
      <c r="BI57" s="76">
        <f t="shared" si="7"/>
        <v>0.14285714285714285</v>
      </c>
      <c r="BJ57" s="85">
        <f t="shared" si="7"/>
        <v>0.2857142857142857</v>
      </c>
      <c r="BK57" s="87">
        <f>BK56/SUM($BK$56:$BX$56)</f>
        <v>0.38461538461538464</v>
      </c>
      <c r="BL57" s="86">
        <f t="shared" ref="BL57:BX57" si="8">BL56/SUM($BK$56:$BX$56)</f>
        <v>0.23076923076923078</v>
      </c>
      <c r="BM57" s="86">
        <f t="shared" si="8"/>
        <v>5.128205128205128E-2</v>
      </c>
      <c r="BN57" s="86">
        <f t="shared" si="8"/>
        <v>2.564102564102564E-2</v>
      </c>
      <c r="BO57" s="86">
        <f t="shared" si="8"/>
        <v>2.564102564102564E-2</v>
      </c>
      <c r="BP57" s="86">
        <f t="shared" si="8"/>
        <v>2.564102564102564E-2</v>
      </c>
      <c r="BQ57" s="86">
        <f t="shared" si="8"/>
        <v>2.564102564102564E-2</v>
      </c>
      <c r="BR57" s="86">
        <f t="shared" si="8"/>
        <v>2.564102564102564E-2</v>
      </c>
      <c r="BS57" s="86">
        <f t="shared" si="8"/>
        <v>2.564102564102564E-2</v>
      </c>
      <c r="BT57" s="86">
        <f t="shared" si="8"/>
        <v>2.564102564102564E-2</v>
      </c>
      <c r="BU57" s="86">
        <f t="shared" si="8"/>
        <v>2.564102564102564E-2</v>
      </c>
      <c r="BV57" s="86">
        <f t="shared" si="8"/>
        <v>2.564102564102564E-2</v>
      </c>
      <c r="BW57" s="86">
        <f t="shared" si="8"/>
        <v>5.128205128205128E-2</v>
      </c>
      <c r="BX57" s="89">
        <f t="shared" si="8"/>
        <v>5.128205128205128E-2</v>
      </c>
      <c r="BY57" s="155">
        <f>BY56/SUM($BY$56:$CC$56)</f>
        <v>0.125</v>
      </c>
      <c r="BZ57" s="76">
        <f t="shared" ref="BZ57:CC57" si="9">BZ56/SUM($BY$56:$CC$56)</f>
        <v>0.125</v>
      </c>
      <c r="CA57" s="76">
        <f t="shared" si="9"/>
        <v>0.125</v>
      </c>
      <c r="CB57" s="76">
        <f t="shared" si="9"/>
        <v>0.125</v>
      </c>
      <c r="CC57" s="85">
        <f t="shared" si="9"/>
        <v>0.5</v>
      </c>
      <c r="CD57" s="87">
        <f>CD56/SUM($CD$56:$CM$56)</f>
        <v>8.3333333333333329E-2</v>
      </c>
      <c r="CE57" s="86">
        <f t="shared" ref="CE57:CM57" si="10">CE56/SUM($CD$56:$CM$56)</f>
        <v>8.3333333333333329E-2</v>
      </c>
      <c r="CF57" s="86">
        <f t="shared" si="10"/>
        <v>8.3333333333333329E-2</v>
      </c>
      <c r="CG57" s="86">
        <f t="shared" si="10"/>
        <v>0.16666666666666666</v>
      </c>
      <c r="CH57" s="86">
        <f t="shared" si="10"/>
        <v>8.3333333333333329E-2</v>
      </c>
      <c r="CI57" s="86">
        <f t="shared" si="10"/>
        <v>8.3333333333333329E-2</v>
      </c>
      <c r="CJ57" s="86">
        <f t="shared" si="10"/>
        <v>0.16666666666666666</v>
      </c>
      <c r="CK57" s="86">
        <f t="shared" si="10"/>
        <v>8.3333333333333329E-2</v>
      </c>
      <c r="CL57" s="86">
        <f t="shared" si="10"/>
        <v>8.3333333333333329E-2</v>
      </c>
      <c r="CM57" s="89">
        <f t="shared" si="10"/>
        <v>8.3333333333333329E-2</v>
      </c>
      <c r="CN57" s="84">
        <f>CN56/SUM($CN$56:$DC$56)</f>
        <v>2.8571428571428571E-2</v>
      </c>
      <c r="CO57" s="78">
        <f t="shared" ref="CO57:DC57" si="11">CO56/$D$56</f>
        <v>0.17647058823529413</v>
      </c>
      <c r="CP57" s="78">
        <f t="shared" si="11"/>
        <v>7.8431372549019607E-2</v>
      </c>
      <c r="CQ57" s="78">
        <f t="shared" si="11"/>
        <v>1.9607843137254902E-2</v>
      </c>
      <c r="CR57" s="78">
        <f t="shared" si="11"/>
        <v>1.9607843137254902E-2</v>
      </c>
      <c r="CS57" s="78">
        <f t="shared" si="11"/>
        <v>5.8823529411764705E-2</v>
      </c>
      <c r="CT57" s="78">
        <f t="shared" si="11"/>
        <v>7.8431372549019607E-2</v>
      </c>
      <c r="CU57" s="78">
        <f t="shared" si="11"/>
        <v>1.9607843137254902E-2</v>
      </c>
      <c r="CV57" s="78">
        <f t="shared" si="11"/>
        <v>3.9215686274509803E-2</v>
      </c>
      <c r="CW57" s="78">
        <f t="shared" si="11"/>
        <v>1.9607843137254902E-2</v>
      </c>
      <c r="CX57" s="78">
        <f t="shared" si="11"/>
        <v>1.9607843137254902E-2</v>
      </c>
      <c r="CY57" s="78">
        <f t="shared" si="11"/>
        <v>1.9607843137254902E-2</v>
      </c>
      <c r="CZ57" s="78">
        <f t="shared" si="11"/>
        <v>1.9607843137254902E-2</v>
      </c>
      <c r="DA57" s="78">
        <f t="shared" si="11"/>
        <v>5.8823529411764705E-2</v>
      </c>
      <c r="DB57" s="78">
        <f t="shared" si="11"/>
        <v>1.9607843137254902E-2</v>
      </c>
      <c r="DC57" s="79">
        <f t="shared" si="11"/>
        <v>1.9607843137254902E-2</v>
      </c>
      <c r="DD57" s="91"/>
      <c r="DE57" s="91"/>
      <c r="DF57" s="91"/>
      <c r="DG57" s="91"/>
      <c r="DH57" s="91"/>
      <c r="DJ57" s="91"/>
      <c r="EM57" s="91"/>
      <c r="EN57" s="91"/>
      <c r="EO57" s="91"/>
      <c r="EP57" s="91"/>
    </row>
    <row r="58" spans="2:146" x14ac:dyDescent="0.3">
      <c r="AC58" s="91"/>
      <c r="AD58" s="91"/>
      <c r="AE58" s="91"/>
      <c r="AG58" s="91"/>
      <c r="AP58"/>
      <c r="CE58" s="91"/>
      <c r="CL58" s="91"/>
    </row>
    <row r="59" spans="2:146" x14ac:dyDescent="0.3">
      <c r="AC59" s="91"/>
      <c r="AD59" s="91"/>
      <c r="AE59" s="91"/>
      <c r="AG59" s="91"/>
      <c r="AP59"/>
      <c r="CE59" s="91"/>
      <c r="CL59" s="91"/>
    </row>
    <row r="60" spans="2:146" x14ac:dyDescent="0.3">
      <c r="AP60"/>
    </row>
  </sheetData>
  <mergeCells count="10">
    <mergeCell ref="BK3:BX3"/>
    <mergeCell ref="BY3:CC3"/>
    <mergeCell ref="CD3:CM3"/>
    <mergeCell ref="CN3:DC3"/>
    <mergeCell ref="E3:N3"/>
    <mergeCell ref="O3:V3"/>
    <mergeCell ref="AV3:BF3"/>
    <mergeCell ref="BG3:BJ3"/>
    <mergeCell ref="W3:AH3"/>
    <mergeCell ref="AI3:AU3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DEF6-6AED-42AC-8373-87587537D8B0}">
  <dimension ref="B2:BT57"/>
  <sheetViews>
    <sheetView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P12" sqref="P12"/>
    </sheetView>
  </sheetViews>
  <sheetFormatPr defaultColWidth="13.21875" defaultRowHeight="15.6" x14ac:dyDescent="0.3"/>
  <cols>
    <col min="1" max="1" width="13.21875" style="107"/>
    <col min="2" max="2" width="6.5546875" style="107" customWidth="1"/>
    <col min="3" max="3" width="33.77734375" style="107" customWidth="1"/>
    <col min="4" max="4" width="20.77734375" style="107" customWidth="1"/>
    <col min="5" max="64" width="6.109375" style="107" customWidth="1"/>
    <col min="65" max="65" width="6.109375" style="157" customWidth="1"/>
    <col min="66" max="68" width="13.21875" style="157"/>
    <col min="69" max="16384" width="13.21875" style="107"/>
  </cols>
  <sheetData>
    <row r="2" spans="2:72" ht="16.2" thickBot="1" x14ac:dyDescent="0.35"/>
    <row r="3" spans="2:72" ht="16.95" customHeight="1" x14ac:dyDescent="0.3">
      <c r="B3" s="165"/>
      <c r="C3" s="166"/>
      <c r="D3" s="166"/>
      <c r="E3" s="167" t="s">
        <v>364</v>
      </c>
      <c r="F3" s="209" t="s">
        <v>365</v>
      </c>
      <c r="G3" s="210"/>
      <c r="H3" s="210"/>
      <c r="I3" s="210"/>
      <c r="J3" s="210"/>
      <c r="K3" s="210"/>
      <c r="L3" s="210"/>
      <c r="M3" s="210"/>
      <c r="N3" s="210"/>
      <c r="O3" s="210"/>
      <c r="P3" s="211"/>
      <c r="Q3" s="209" t="s">
        <v>366</v>
      </c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1"/>
      <c r="AC3" s="206" t="s">
        <v>367</v>
      </c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7"/>
      <c r="AO3" s="207"/>
      <c r="AP3" s="207"/>
      <c r="AQ3" s="207"/>
      <c r="AR3" s="207"/>
      <c r="AS3" s="207"/>
      <c r="AT3" s="207"/>
      <c r="AU3" s="207"/>
      <c r="AV3" s="207"/>
      <c r="AW3" s="207"/>
      <c r="AX3" s="207"/>
      <c r="AY3" s="207"/>
      <c r="AZ3" s="207"/>
      <c r="BA3" s="208"/>
      <c r="BB3" s="206" t="s">
        <v>368</v>
      </c>
      <c r="BC3" s="207"/>
      <c r="BD3" s="207"/>
      <c r="BE3" s="207"/>
      <c r="BF3" s="207"/>
      <c r="BG3" s="207"/>
      <c r="BH3" s="207"/>
      <c r="BI3" s="207"/>
      <c r="BJ3" s="207"/>
      <c r="BK3" s="207"/>
      <c r="BL3" s="208"/>
    </row>
    <row r="4" spans="2:72" ht="165" customHeight="1" x14ac:dyDescent="0.3">
      <c r="B4" s="168" t="s">
        <v>0</v>
      </c>
      <c r="C4" s="169" t="s">
        <v>241</v>
      </c>
      <c r="D4" s="170" t="s">
        <v>3</v>
      </c>
      <c r="E4" s="171" t="s">
        <v>369</v>
      </c>
      <c r="F4" s="172" t="s">
        <v>370</v>
      </c>
      <c r="G4" s="173" t="s">
        <v>371</v>
      </c>
      <c r="H4" s="173" t="s">
        <v>372</v>
      </c>
      <c r="I4" s="174" t="s">
        <v>373</v>
      </c>
      <c r="J4" s="174" t="s">
        <v>374</v>
      </c>
      <c r="K4" s="174" t="s">
        <v>375</v>
      </c>
      <c r="L4" s="174" t="s">
        <v>376</v>
      </c>
      <c r="M4" s="174" t="s">
        <v>377</v>
      </c>
      <c r="N4" s="174" t="s">
        <v>378</v>
      </c>
      <c r="O4" s="174" t="s">
        <v>379</v>
      </c>
      <c r="P4" s="175" t="s">
        <v>380</v>
      </c>
      <c r="Q4" s="172" t="s">
        <v>381</v>
      </c>
      <c r="R4" s="174" t="s">
        <v>382</v>
      </c>
      <c r="S4" s="174" t="s">
        <v>383</v>
      </c>
      <c r="T4" s="174" t="s">
        <v>384</v>
      </c>
      <c r="U4" s="174" t="s">
        <v>385</v>
      </c>
      <c r="V4" s="174" t="s">
        <v>386</v>
      </c>
      <c r="W4" s="174" t="s">
        <v>387</v>
      </c>
      <c r="X4" s="174" t="s">
        <v>388</v>
      </c>
      <c r="Y4" s="174" t="s">
        <v>389</v>
      </c>
      <c r="Z4" s="174" t="s">
        <v>390</v>
      </c>
      <c r="AA4" s="174" t="s">
        <v>391</v>
      </c>
      <c r="AB4" s="175" t="s">
        <v>392</v>
      </c>
      <c r="AC4" s="172" t="s">
        <v>393</v>
      </c>
      <c r="AD4" s="173" t="s">
        <v>394</v>
      </c>
      <c r="AE4" s="174" t="s">
        <v>395</v>
      </c>
      <c r="AF4" s="174" t="s">
        <v>396</v>
      </c>
      <c r="AG4" s="174" t="s">
        <v>397</v>
      </c>
      <c r="AH4" s="174" t="s">
        <v>398</v>
      </c>
      <c r="AI4" s="174" t="s">
        <v>399</v>
      </c>
      <c r="AJ4" s="174" t="s">
        <v>400</v>
      </c>
      <c r="AK4" s="174" t="s">
        <v>401</v>
      </c>
      <c r="AL4" s="174" t="s">
        <v>402</v>
      </c>
      <c r="AM4" s="174" t="s">
        <v>403</v>
      </c>
      <c r="AN4" s="174" t="s">
        <v>404</v>
      </c>
      <c r="AO4" s="174" t="s">
        <v>405</v>
      </c>
      <c r="AP4" s="174" t="s">
        <v>406</v>
      </c>
      <c r="AQ4" s="174" t="s">
        <v>407</v>
      </c>
      <c r="AR4" s="174" t="s">
        <v>408</v>
      </c>
      <c r="AS4" s="174" t="s">
        <v>409</v>
      </c>
      <c r="AT4" s="174" t="s">
        <v>410</v>
      </c>
      <c r="AU4" s="174" t="s">
        <v>411</v>
      </c>
      <c r="AV4" s="174" t="s">
        <v>412</v>
      </c>
      <c r="AW4" s="174" t="s">
        <v>413</v>
      </c>
      <c r="AX4" s="174" t="s">
        <v>414</v>
      </c>
      <c r="AY4" s="174" t="s">
        <v>415</v>
      </c>
      <c r="AZ4" s="174" t="s">
        <v>416</v>
      </c>
      <c r="BA4" s="175" t="s">
        <v>417</v>
      </c>
      <c r="BB4" s="176" t="s">
        <v>418</v>
      </c>
      <c r="BC4" s="174" t="s">
        <v>419</v>
      </c>
      <c r="BD4" s="174" t="s">
        <v>420</v>
      </c>
      <c r="BE4" s="174" t="s">
        <v>421</v>
      </c>
      <c r="BF4" s="174" t="s">
        <v>422</v>
      </c>
      <c r="BG4" s="174" t="s">
        <v>423</v>
      </c>
      <c r="BH4" s="174" t="s">
        <v>424</v>
      </c>
      <c r="BI4" s="174" t="s">
        <v>425</v>
      </c>
      <c r="BJ4" s="174" t="s">
        <v>426</v>
      </c>
      <c r="BK4" s="174" t="s">
        <v>427</v>
      </c>
      <c r="BL4" s="175" t="s">
        <v>428</v>
      </c>
      <c r="BM4" s="177"/>
      <c r="BN4" s="177"/>
      <c r="BO4" s="177"/>
      <c r="BP4" s="177"/>
      <c r="BQ4" s="178"/>
      <c r="BR4" s="178"/>
      <c r="BS4" s="178"/>
      <c r="BT4" s="178"/>
    </row>
    <row r="5" spans="2:72" ht="46.8" x14ac:dyDescent="0.3">
      <c r="B5" s="118">
        <v>1</v>
      </c>
      <c r="C5" s="23" t="s">
        <v>9</v>
      </c>
      <c r="D5" s="23" t="s">
        <v>10</v>
      </c>
      <c r="E5" s="179"/>
      <c r="F5" s="119"/>
      <c r="G5" s="180"/>
      <c r="H5" s="180"/>
      <c r="I5" s="120"/>
      <c r="J5" s="120"/>
      <c r="K5" s="120"/>
      <c r="L5" s="120"/>
      <c r="M5" s="120"/>
      <c r="N5" s="120"/>
      <c r="O5" s="120"/>
      <c r="P5" s="121"/>
      <c r="Q5" s="119"/>
      <c r="R5" s="180"/>
      <c r="S5" s="120"/>
      <c r="T5" s="120"/>
      <c r="U5" s="120"/>
      <c r="V5" s="120"/>
      <c r="W5" s="120"/>
      <c r="X5" s="120"/>
      <c r="Y5" s="120"/>
      <c r="Z5" s="120"/>
      <c r="AA5" s="120"/>
      <c r="AB5" s="121"/>
      <c r="AC5" s="119"/>
      <c r="AD5" s="180"/>
      <c r="AE5" s="120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 t="s">
        <v>233</v>
      </c>
      <c r="AR5" s="120"/>
      <c r="AS5" s="120"/>
      <c r="AT5" s="120"/>
      <c r="AU5" s="120"/>
      <c r="AV5" s="120"/>
      <c r="AW5" s="120"/>
      <c r="AX5" s="120"/>
      <c r="AY5" s="120"/>
      <c r="AZ5" s="120"/>
      <c r="BA5" s="121"/>
      <c r="BB5" s="150"/>
      <c r="BC5" s="120"/>
      <c r="BD5" s="120" t="s">
        <v>233</v>
      </c>
      <c r="BE5" s="120"/>
      <c r="BF5" s="120"/>
      <c r="BG5" s="120"/>
      <c r="BH5" s="120"/>
      <c r="BI5" s="120"/>
      <c r="BJ5" s="120"/>
      <c r="BK5" s="120"/>
      <c r="BL5" s="121"/>
    </row>
    <row r="6" spans="2:72" ht="46.8" x14ac:dyDescent="0.3">
      <c r="B6" s="108">
        <v>2</v>
      </c>
      <c r="C6" s="36" t="s">
        <v>17</v>
      </c>
      <c r="D6" s="36" t="s">
        <v>18</v>
      </c>
      <c r="E6" s="156"/>
      <c r="F6" s="103"/>
      <c r="G6" s="106"/>
      <c r="H6" s="106"/>
      <c r="I6" s="104"/>
      <c r="J6" s="104"/>
      <c r="K6" s="104"/>
      <c r="L6" s="104"/>
      <c r="M6" s="104"/>
      <c r="N6" s="104"/>
      <c r="O6" s="104"/>
      <c r="P6" s="105"/>
      <c r="Q6" s="103"/>
      <c r="R6" s="106"/>
      <c r="S6" s="104"/>
      <c r="T6" s="104"/>
      <c r="U6" s="104"/>
      <c r="V6" s="104"/>
      <c r="W6" s="104"/>
      <c r="X6" s="104"/>
      <c r="Y6" s="104"/>
      <c r="Z6" s="104"/>
      <c r="AA6" s="104"/>
      <c r="AB6" s="105"/>
      <c r="AC6" s="103"/>
      <c r="AD6" s="106"/>
      <c r="AE6" s="104"/>
      <c r="AF6" s="104"/>
      <c r="AG6" s="104"/>
      <c r="AH6" s="104"/>
      <c r="AI6" s="104"/>
      <c r="AJ6" s="104"/>
      <c r="AK6" s="104" t="s">
        <v>233</v>
      </c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5"/>
      <c r="BB6" s="138"/>
      <c r="BC6" s="104"/>
      <c r="BD6" s="104"/>
      <c r="BE6" s="104"/>
      <c r="BF6" s="104"/>
      <c r="BG6" s="104"/>
      <c r="BH6" s="104"/>
      <c r="BI6" s="104"/>
      <c r="BJ6" s="104"/>
      <c r="BK6" s="104"/>
      <c r="BL6" s="105"/>
    </row>
    <row r="7" spans="2:72" ht="31.2" x14ac:dyDescent="0.3">
      <c r="B7" s="108">
        <v>3</v>
      </c>
      <c r="C7" s="36" t="s">
        <v>20</v>
      </c>
      <c r="D7" s="36" t="s">
        <v>21</v>
      </c>
      <c r="E7" s="156"/>
      <c r="F7" s="103"/>
      <c r="G7" s="106"/>
      <c r="H7" s="106"/>
      <c r="I7" s="104"/>
      <c r="J7" s="104"/>
      <c r="K7" s="104"/>
      <c r="L7" s="104"/>
      <c r="M7" s="104"/>
      <c r="N7" s="104"/>
      <c r="O7" s="104"/>
      <c r="P7" s="105"/>
      <c r="Q7" s="103"/>
      <c r="R7" s="106"/>
      <c r="S7" s="104"/>
      <c r="T7" s="104"/>
      <c r="U7" s="104"/>
      <c r="V7" s="104"/>
      <c r="W7" s="104"/>
      <c r="X7" s="104"/>
      <c r="Y7" s="104"/>
      <c r="Z7" s="104"/>
      <c r="AA7" s="104"/>
      <c r="AB7" s="105"/>
      <c r="AC7" s="103"/>
      <c r="AD7" s="106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5"/>
      <c r="BB7" s="138"/>
      <c r="BC7" s="104"/>
      <c r="BD7" s="104"/>
      <c r="BE7" s="104"/>
      <c r="BF7" s="104"/>
      <c r="BG7" s="104"/>
      <c r="BH7" s="104"/>
      <c r="BI7" s="104"/>
      <c r="BJ7" s="104"/>
      <c r="BK7" s="104"/>
      <c r="BL7" s="105"/>
    </row>
    <row r="8" spans="2:72" ht="46.8" x14ac:dyDescent="0.3">
      <c r="B8" s="108">
        <v>4</v>
      </c>
      <c r="C8" s="36" t="s">
        <v>25</v>
      </c>
      <c r="D8" s="36" t="s">
        <v>26</v>
      </c>
      <c r="E8" s="156"/>
      <c r="F8" s="103"/>
      <c r="G8" s="106"/>
      <c r="H8" s="106"/>
      <c r="I8" s="104"/>
      <c r="J8" s="104"/>
      <c r="K8" s="104"/>
      <c r="L8" s="104"/>
      <c r="M8" s="104"/>
      <c r="N8" s="104"/>
      <c r="O8" s="104"/>
      <c r="P8" s="105"/>
      <c r="Q8" s="103"/>
      <c r="R8" s="106"/>
      <c r="S8" s="104"/>
      <c r="T8" s="104"/>
      <c r="U8" s="104"/>
      <c r="V8" s="104"/>
      <c r="W8" s="104"/>
      <c r="X8" s="104"/>
      <c r="Y8" s="104"/>
      <c r="Z8" s="104"/>
      <c r="AA8" s="104"/>
      <c r="AB8" s="105"/>
      <c r="AC8" s="103"/>
      <c r="AD8" s="106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5" t="s">
        <v>233</v>
      </c>
      <c r="BB8" s="138"/>
      <c r="BC8" s="104"/>
      <c r="BD8" s="104"/>
      <c r="BE8" s="104"/>
      <c r="BF8" s="104"/>
      <c r="BG8" s="104"/>
      <c r="BH8" s="104"/>
      <c r="BI8" s="104"/>
      <c r="BJ8" s="104"/>
      <c r="BK8" s="104"/>
      <c r="BL8" s="105"/>
    </row>
    <row r="9" spans="2:72" ht="46.8" x14ac:dyDescent="0.3">
      <c r="B9" s="108">
        <v>5</v>
      </c>
      <c r="C9" s="36" t="s">
        <v>30</v>
      </c>
      <c r="D9" s="36" t="s">
        <v>31</v>
      </c>
      <c r="E9" s="156"/>
      <c r="F9" s="103"/>
      <c r="G9" s="106"/>
      <c r="H9" s="106"/>
      <c r="I9" s="104"/>
      <c r="J9" s="104"/>
      <c r="K9" s="104"/>
      <c r="L9" s="104"/>
      <c r="M9" s="104"/>
      <c r="N9" s="104"/>
      <c r="O9" s="104"/>
      <c r="P9" s="105"/>
      <c r="Q9" s="103"/>
      <c r="R9" s="106"/>
      <c r="S9" s="104" t="s">
        <v>233</v>
      </c>
      <c r="T9" s="104"/>
      <c r="U9" s="104"/>
      <c r="V9" s="104"/>
      <c r="W9" s="104"/>
      <c r="X9" s="104"/>
      <c r="Y9" s="104"/>
      <c r="Z9" s="104"/>
      <c r="AA9" s="104"/>
      <c r="AB9" s="105"/>
      <c r="AC9" s="103"/>
      <c r="AD9" s="106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5"/>
      <c r="BB9" s="138"/>
      <c r="BC9" s="104"/>
      <c r="BD9" s="104" t="s">
        <v>233</v>
      </c>
      <c r="BE9" s="104"/>
      <c r="BF9" s="104"/>
      <c r="BG9" s="104"/>
      <c r="BH9" s="104"/>
      <c r="BI9" s="104"/>
      <c r="BJ9" s="104"/>
      <c r="BK9" s="104"/>
      <c r="BL9" s="105"/>
    </row>
    <row r="10" spans="2:72" ht="46.8" x14ac:dyDescent="0.3">
      <c r="B10" s="108">
        <v>6</v>
      </c>
      <c r="C10" s="36" t="s">
        <v>34</v>
      </c>
      <c r="D10" s="36" t="s">
        <v>35</v>
      </c>
      <c r="E10" s="156"/>
      <c r="F10" s="103" t="s">
        <v>233</v>
      </c>
      <c r="G10" s="106"/>
      <c r="H10" s="106"/>
      <c r="I10" s="104"/>
      <c r="J10" s="104" t="s">
        <v>233</v>
      </c>
      <c r="K10" s="104" t="s">
        <v>233</v>
      </c>
      <c r="L10" s="104" t="s">
        <v>233</v>
      </c>
      <c r="M10" s="104"/>
      <c r="N10" s="104" t="s">
        <v>233</v>
      </c>
      <c r="O10" s="104" t="s">
        <v>233</v>
      </c>
      <c r="P10" s="105" t="s">
        <v>233</v>
      </c>
      <c r="Q10" s="103" t="s">
        <v>233</v>
      </c>
      <c r="R10" s="106"/>
      <c r="S10" s="104"/>
      <c r="T10" s="104"/>
      <c r="U10" s="104"/>
      <c r="V10" s="104"/>
      <c r="W10" s="104"/>
      <c r="X10" s="104"/>
      <c r="Y10" s="104"/>
      <c r="Z10" s="104"/>
      <c r="AA10" s="104"/>
      <c r="AB10" s="105"/>
      <c r="AC10" s="103"/>
      <c r="AD10" s="106"/>
      <c r="AE10" s="104"/>
      <c r="AF10" s="104"/>
      <c r="AG10" s="104"/>
      <c r="AH10" s="104"/>
      <c r="AI10" s="104"/>
      <c r="AJ10" s="104" t="s">
        <v>233</v>
      </c>
      <c r="AK10" s="104"/>
      <c r="AL10" s="104"/>
      <c r="AM10" s="104"/>
      <c r="AN10" s="104"/>
      <c r="AO10" s="104"/>
      <c r="AP10" s="104"/>
      <c r="AQ10" s="104" t="s">
        <v>233</v>
      </c>
      <c r="AR10" s="104" t="s">
        <v>233</v>
      </c>
      <c r="AS10" s="104" t="s">
        <v>233</v>
      </c>
      <c r="AT10" s="104" t="s">
        <v>233</v>
      </c>
      <c r="AU10" s="104"/>
      <c r="AV10" s="104"/>
      <c r="AW10" s="104"/>
      <c r="AX10" s="104"/>
      <c r="AY10" s="104"/>
      <c r="AZ10" s="104"/>
      <c r="BA10" s="105"/>
      <c r="BB10" s="138"/>
      <c r="BC10" s="104"/>
      <c r="BD10" s="104"/>
      <c r="BE10" s="104"/>
      <c r="BF10" s="104"/>
      <c r="BG10" s="104"/>
      <c r="BH10" s="104"/>
      <c r="BI10" s="104"/>
      <c r="BJ10" s="104"/>
      <c r="BK10" s="104"/>
      <c r="BL10" s="105"/>
    </row>
    <row r="11" spans="2:72" ht="31.2" x14ac:dyDescent="0.3">
      <c r="B11" s="108">
        <v>7</v>
      </c>
      <c r="C11" s="36" t="s">
        <v>39</v>
      </c>
      <c r="D11" s="36" t="s">
        <v>40</v>
      </c>
      <c r="E11" s="156"/>
      <c r="F11" s="103"/>
      <c r="G11" s="106"/>
      <c r="H11" s="106"/>
      <c r="I11" s="104"/>
      <c r="J11" s="104"/>
      <c r="K11" s="104"/>
      <c r="L11" s="104"/>
      <c r="M11" s="104"/>
      <c r="N11" s="104"/>
      <c r="O11" s="104"/>
      <c r="P11" s="105"/>
      <c r="Q11" s="103"/>
      <c r="R11" s="106"/>
      <c r="S11" s="104"/>
      <c r="T11" s="104"/>
      <c r="U11" s="104"/>
      <c r="V11" s="104"/>
      <c r="W11" s="104" t="s">
        <v>233</v>
      </c>
      <c r="X11" s="104"/>
      <c r="Y11" s="104"/>
      <c r="Z11" s="104"/>
      <c r="AA11" s="104"/>
      <c r="AB11" s="105"/>
      <c r="AC11" s="103"/>
      <c r="AD11" s="106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5"/>
      <c r="BB11" s="138"/>
      <c r="BC11" s="104"/>
      <c r="BD11" s="104"/>
      <c r="BE11" s="104"/>
      <c r="BF11" s="104"/>
      <c r="BG11" s="104"/>
      <c r="BH11" s="104"/>
      <c r="BI11" s="104"/>
      <c r="BJ11" s="104"/>
      <c r="BK11" s="104"/>
      <c r="BL11" s="105"/>
    </row>
    <row r="12" spans="2:72" ht="62.4" x14ac:dyDescent="0.3">
      <c r="B12" s="108">
        <v>8</v>
      </c>
      <c r="C12" s="36" t="s">
        <v>42</v>
      </c>
      <c r="D12" s="36" t="s">
        <v>43</v>
      </c>
      <c r="E12" s="156"/>
      <c r="F12" s="103"/>
      <c r="G12" s="106"/>
      <c r="H12" s="106"/>
      <c r="I12" s="104"/>
      <c r="J12" s="104"/>
      <c r="K12" s="104"/>
      <c r="L12" s="104"/>
      <c r="M12" s="104"/>
      <c r="N12" s="104"/>
      <c r="O12" s="104"/>
      <c r="P12" s="105"/>
      <c r="Q12" s="103"/>
      <c r="R12" s="106"/>
      <c r="S12" s="104" t="s">
        <v>233</v>
      </c>
      <c r="T12" s="104"/>
      <c r="U12" s="104"/>
      <c r="V12" s="104"/>
      <c r="W12" s="104"/>
      <c r="X12" s="104"/>
      <c r="Y12" s="104"/>
      <c r="Z12" s="104"/>
      <c r="AA12" s="104"/>
      <c r="AB12" s="105"/>
      <c r="AC12" s="103"/>
      <c r="AD12" s="106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5"/>
      <c r="BB12" s="138"/>
      <c r="BC12" s="104"/>
      <c r="BD12" s="104"/>
      <c r="BE12" s="104"/>
      <c r="BF12" s="104"/>
      <c r="BG12" s="104"/>
      <c r="BH12" s="104"/>
      <c r="BI12" s="104"/>
      <c r="BJ12" s="104"/>
      <c r="BK12" s="104"/>
      <c r="BL12" s="105"/>
    </row>
    <row r="13" spans="2:72" ht="62.4" x14ac:dyDescent="0.3">
      <c r="B13" s="108">
        <v>9</v>
      </c>
      <c r="C13" s="36" t="s">
        <v>45</v>
      </c>
      <c r="D13" s="36" t="s">
        <v>46</v>
      </c>
      <c r="E13" s="156"/>
      <c r="F13" s="103"/>
      <c r="G13" s="106"/>
      <c r="H13" s="106"/>
      <c r="I13" s="104"/>
      <c r="J13" s="104"/>
      <c r="K13" s="104"/>
      <c r="L13" s="104"/>
      <c r="M13" s="104"/>
      <c r="N13" s="104"/>
      <c r="O13" s="104"/>
      <c r="P13" s="105"/>
      <c r="Q13" s="103"/>
      <c r="R13" s="106"/>
      <c r="S13" s="104"/>
      <c r="T13" s="104"/>
      <c r="U13" s="104"/>
      <c r="V13" s="104"/>
      <c r="W13" s="104"/>
      <c r="X13" s="104"/>
      <c r="Y13" s="104"/>
      <c r="Z13" s="104"/>
      <c r="AA13" s="104"/>
      <c r="AB13" s="105"/>
      <c r="AC13" s="103"/>
      <c r="AD13" s="106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5" t="s">
        <v>233</v>
      </c>
      <c r="BB13" s="138"/>
      <c r="BC13" s="104"/>
      <c r="BD13" s="104"/>
      <c r="BE13" s="104"/>
      <c r="BF13" s="104"/>
      <c r="BG13" s="104"/>
      <c r="BH13" s="104"/>
      <c r="BI13" s="104"/>
      <c r="BJ13" s="104"/>
      <c r="BK13" s="104"/>
      <c r="BL13" s="105"/>
    </row>
    <row r="14" spans="2:72" ht="46.8" x14ac:dyDescent="0.3">
      <c r="B14" s="108">
        <v>10</v>
      </c>
      <c r="C14" s="36" t="s">
        <v>48</v>
      </c>
      <c r="D14" s="36" t="s">
        <v>49</v>
      </c>
      <c r="E14" s="156"/>
      <c r="F14" s="103"/>
      <c r="G14" s="106"/>
      <c r="H14" s="106"/>
      <c r="I14" s="104"/>
      <c r="J14" s="104"/>
      <c r="K14" s="104"/>
      <c r="L14" s="104"/>
      <c r="M14" s="104"/>
      <c r="N14" s="104"/>
      <c r="O14" s="104"/>
      <c r="P14" s="105"/>
      <c r="Q14" s="103"/>
      <c r="R14" s="106"/>
      <c r="S14" s="104"/>
      <c r="T14" s="104"/>
      <c r="U14" s="104" t="s">
        <v>233</v>
      </c>
      <c r="V14" s="104"/>
      <c r="W14" s="104"/>
      <c r="X14" s="104"/>
      <c r="Y14" s="104"/>
      <c r="Z14" s="104"/>
      <c r="AA14" s="104"/>
      <c r="AB14" s="105"/>
      <c r="AC14" s="103"/>
      <c r="AD14" s="106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5"/>
      <c r="BB14" s="138"/>
      <c r="BC14" s="104"/>
      <c r="BD14" s="104"/>
      <c r="BE14" s="104"/>
      <c r="BF14" s="104"/>
      <c r="BG14" s="104"/>
      <c r="BH14" s="104"/>
      <c r="BI14" s="104"/>
      <c r="BJ14" s="104"/>
      <c r="BK14" s="104"/>
      <c r="BL14" s="105"/>
    </row>
    <row r="15" spans="2:72" ht="46.8" x14ac:dyDescent="0.3">
      <c r="B15" s="118">
        <v>11</v>
      </c>
      <c r="C15" s="36" t="s">
        <v>51</v>
      </c>
      <c r="D15" s="36" t="s">
        <v>52</v>
      </c>
      <c r="E15" s="156"/>
      <c r="F15" s="103"/>
      <c r="G15" s="106"/>
      <c r="H15" s="106"/>
      <c r="I15" s="104"/>
      <c r="J15" s="104"/>
      <c r="K15" s="104"/>
      <c r="L15" s="104"/>
      <c r="M15" s="104"/>
      <c r="N15" s="104"/>
      <c r="O15" s="104"/>
      <c r="P15" s="105" t="s">
        <v>233</v>
      </c>
      <c r="Q15" s="103"/>
      <c r="R15" s="106"/>
      <c r="S15" s="104"/>
      <c r="T15" s="104"/>
      <c r="U15" s="104"/>
      <c r="V15" s="104"/>
      <c r="W15" s="104"/>
      <c r="X15" s="104"/>
      <c r="Y15" s="104"/>
      <c r="Z15" s="104"/>
      <c r="AA15" s="104"/>
      <c r="AB15" s="105"/>
      <c r="AC15" s="103"/>
      <c r="AD15" s="106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 t="s">
        <v>233</v>
      </c>
      <c r="AX15" s="104"/>
      <c r="AY15" s="104"/>
      <c r="AZ15" s="104"/>
      <c r="BA15" s="105"/>
      <c r="BB15" s="138"/>
      <c r="BC15" s="104"/>
      <c r="BD15" s="104"/>
      <c r="BE15" s="104"/>
      <c r="BF15" s="104"/>
      <c r="BG15" s="104"/>
      <c r="BH15" s="104"/>
      <c r="BI15" s="104"/>
      <c r="BJ15" s="104"/>
      <c r="BK15" s="104"/>
      <c r="BL15" s="105"/>
    </row>
    <row r="16" spans="2:72" ht="46.8" x14ac:dyDescent="0.3">
      <c r="B16" s="108">
        <v>12</v>
      </c>
      <c r="C16" s="36" t="s">
        <v>56</v>
      </c>
      <c r="D16" s="36" t="s">
        <v>57</v>
      </c>
      <c r="E16" s="156"/>
      <c r="F16" s="103"/>
      <c r="G16" s="106"/>
      <c r="H16" s="106"/>
      <c r="I16" s="104"/>
      <c r="J16" s="104"/>
      <c r="K16" s="104"/>
      <c r="L16" s="104"/>
      <c r="M16" s="104"/>
      <c r="N16" s="104"/>
      <c r="O16" s="104"/>
      <c r="P16" s="105"/>
      <c r="Q16" s="103"/>
      <c r="R16" s="106"/>
      <c r="S16" s="104"/>
      <c r="T16" s="104"/>
      <c r="U16" s="104"/>
      <c r="V16" s="104"/>
      <c r="W16" s="104"/>
      <c r="X16" s="104"/>
      <c r="Y16" s="104"/>
      <c r="Z16" s="104"/>
      <c r="AA16" s="104"/>
      <c r="AB16" s="105"/>
      <c r="AC16" s="103"/>
      <c r="AD16" s="106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5"/>
      <c r="BB16" s="138"/>
      <c r="BC16" s="104"/>
      <c r="BD16" s="104"/>
      <c r="BE16" s="104"/>
      <c r="BF16" s="104"/>
      <c r="BG16" s="104"/>
      <c r="BH16" s="104"/>
      <c r="BI16" s="104"/>
      <c r="BJ16" s="104"/>
      <c r="BK16" s="104"/>
      <c r="BL16" s="105"/>
    </row>
    <row r="17" spans="2:64" ht="31.2" x14ac:dyDescent="0.3">
      <c r="B17" s="108">
        <v>13</v>
      </c>
      <c r="C17" s="36" t="s">
        <v>60</v>
      </c>
      <c r="D17" s="36" t="s">
        <v>61</v>
      </c>
      <c r="E17" s="156"/>
      <c r="F17" s="103"/>
      <c r="G17" s="106"/>
      <c r="H17" s="106"/>
      <c r="I17" s="104"/>
      <c r="J17" s="104"/>
      <c r="K17" s="104"/>
      <c r="L17" s="104"/>
      <c r="M17" s="104"/>
      <c r="N17" s="104"/>
      <c r="O17" s="104"/>
      <c r="P17" s="105"/>
      <c r="Q17" s="103"/>
      <c r="R17" s="106"/>
      <c r="S17" s="104"/>
      <c r="T17" s="104"/>
      <c r="U17" s="104"/>
      <c r="V17" s="104"/>
      <c r="W17" s="104"/>
      <c r="X17" s="104"/>
      <c r="Y17" s="104"/>
      <c r="Z17" s="104"/>
      <c r="AA17" s="104"/>
      <c r="AB17" s="105"/>
      <c r="AC17" s="103"/>
      <c r="AD17" s="106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 t="s">
        <v>233</v>
      </c>
      <c r="BA17" s="105"/>
      <c r="BB17" s="138"/>
      <c r="BC17" s="104"/>
      <c r="BD17" s="104"/>
      <c r="BE17" s="104"/>
      <c r="BF17" s="104"/>
      <c r="BG17" s="104"/>
      <c r="BH17" s="104"/>
      <c r="BI17" s="104"/>
      <c r="BJ17" s="104"/>
      <c r="BK17" s="104"/>
      <c r="BL17" s="105"/>
    </row>
    <row r="18" spans="2:64" ht="31.2" x14ac:dyDescent="0.3">
      <c r="B18" s="108">
        <v>14</v>
      </c>
      <c r="C18" s="36" t="s">
        <v>63</v>
      </c>
      <c r="D18" s="36" t="s">
        <v>64</v>
      </c>
      <c r="E18" s="156"/>
      <c r="F18" s="103"/>
      <c r="G18" s="106"/>
      <c r="H18" s="106"/>
      <c r="I18" s="104"/>
      <c r="J18" s="104"/>
      <c r="K18" s="104"/>
      <c r="L18" s="104"/>
      <c r="M18" s="104"/>
      <c r="N18" s="104"/>
      <c r="O18" s="104"/>
      <c r="P18" s="105"/>
      <c r="Q18" s="103" t="s">
        <v>233</v>
      </c>
      <c r="R18" s="106"/>
      <c r="S18" s="104" t="s">
        <v>233</v>
      </c>
      <c r="T18" s="104"/>
      <c r="U18" s="104"/>
      <c r="V18" s="104"/>
      <c r="W18" s="104"/>
      <c r="X18" s="104"/>
      <c r="Y18" s="104"/>
      <c r="Z18" s="104"/>
      <c r="AA18" s="104"/>
      <c r="AB18" s="105"/>
      <c r="AC18" s="103"/>
      <c r="AD18" s="106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 t="s">
        <v>233</v>
      </c>
      <c r="AZ18" s="104"/>
      <c r="BA18" s="105"/>
      <c r="BB18" s="138"/>
      <c r="BC18" s="104"/>
      <c r="BD18" s="104"/>
      <c r="BE18" s="104"/>
      <c r="BF18" s="104"/>
      <c r="BG18" s="104"/>
      <c r="BH18" s="104"/>
      <c r="BI18" s="104"/>
      <c r="BJ18" s="104"/>
      <c r="BK18" s="104"/>
      <c r="BL18" s="105"/>
    </row>
    <row r="19" spans="2:64" ht="31.2" x14ac:dyDescent="0.3">
      <c r="B19" s="108">
        <v>15</v>
      </c>
      <c r="C19" s="36" t="s">
        <v>67</v>
      </c>
      <c r="D19" s="36" t="s">
        <v>68</v>
      </c>
      <c r="E19" s="156" t="s">
        <v>233</v>
      </c>
      <c r="F19" s="103"/>
      <c r="G19" s="106"/>
      <c r="H19" s="106"/>
      <c r="I19" s="104"/>
      <c r="J19" s="104"/>
      <c r="K19" s="104"/>
      <c r="L19" s="104"/>
      <c r="M19" s="104"/>
      <c r="N19" s="104"/>
      <c r="O19" s="104"/>
      <c r="P19" s="105"/>
      <c r="Q19" s="103"/>
      <c r="R19" s="106"/>
      <c r="S19" s="104"/>
      <c r="T19" s="104"/>
      <c r="U19" s="104"/>
      <c r="V19" s="104"/>
      <c r="W19" s="104"/>
      <c r="X19" s="104"/>
      <c r="Y19" s="104"/>
      <c r="Z19" s="104"/>
      <c r="AA19" s="104"/>
      <c r="AB19" s="105"/>
      <c r="AC19" s="103"/>
      <c r="AD19" s="106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5"/>
      <c r="BB19" s="138"/>
      <c r="BC19" s="104"/>
      <c r="BD19" s="104" t="s">
        <v>233</v>
      </c>
      <c r="BE19" s="104"/>
      <c r="BF19" s="104"/>
      <c r="BG19" s="104" t="s">
        <v>233</v>
      </c>
      <c r="BH19" s="104"/>
      <c r="BI19" s="104"/>
      <c r="BJ19" s="104"/>
      <c r="BK19" s="104"/>
      <c r="BL19" s="105"/>
    </row>
    <row r="20" spans="2:64" ht="31.2" x14ac:dyDescent="0.3">
      <c r="B20" s="108">
        <v>16</v>
      </c>
      <c r="C20" s="36" t="s">
        <v>70</v>
      </c>
      <c r="D20" s="36" t="s">
        <v>71</v>
      </c>
      <c r="E20" s="156"/>
      <c r="F20" s="103"/>
      <c r="G20" s="106"/>
      <c r="H20" s="106"/>
      <c r="I20" s="104"/>
      <c r="J20" s="104"/>
      <c r="K20" s="104"/>
      <c r="L20" s="104"/>
      <c r="M20" s="104"/>
      <c r="N20" s="104"/>
      <c r="O20" s="104"/>
      <c r="P20" s="105"/>
      <c r="Q20" s="103"/>
      <c r="R20" s="106"/>
      <c r="S20" s="104"/>
      <c r="T20" s="104"/>
      <c r="U20" s="104"/>
      <c r="V20" s="104"/>
      <c r="W20" s="104"/>
      <c r="X20" s="104"/>
      <c r="Y20" s="104"/>
      <c r="Z20" s="104"/>
      <c r="AA20" s="104"/>
      <c r="AB20" s="105"/>
      <c r="AC20" s="103"/>
      <c r="AD20" s="106"/>
      <c r="AE20" s="104"/>
      <c r="AF20" s="104"/>
      <c r="AG20" s="104"/>
      <c r="AH20" s="104"/>
      <c r="AI20" s="104"/>
      <c r="AJ20" s="104"/>
      <c r="AK20" s="104" t="s">
        <v>233</v>
      </c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5"/>
      <c r="BB20" s="138"/>
      <c r="BC20" s="104" t="s">
        <v>233</v>
      </c>
      <c r="BD20" s="104"/>
      <c r="BE20" s="104"/>
      <c r="BF20" s="104"/>
      <c r="BG20" s="104"/>
      <c r="BH20" s="104"/>
      <c r="BI20" s="104"/>
      <c r="BJ20" s="104"/>
      <c r="BK20" s="104"/>
      <c r="BL20" s="105"/>
    </row>
    <row r="21" spans="2:64" ht="31.2" x14ac:dyDescent="0.3">
      <c r="B21" s="108">
        <v>17</v>
      </c>
      <c r="C21" s="36" t="s">
        <v>74</v>
      </c>
      <c r="D21" s="36" t="s">
        <v>75</v>
      </c>
      <c r="E21" s="156"/>
      <c r="F21" s="103"/>
      <c r="G21" s="106"/>
      <c r="H21" s="106"/>
      <c r="I21" s="104"/>
      <c r="J21" s="104"/>
      <c r="K21" s="104"/>
      <c r="L21" s="104"/>
      <c r="M21" s="104"/>
      <c r="N21" s="104"/>
      <c r="O21" s="104"/>
      <c r="P21" s="105"/>
      <c r="Q21" s="103"/>
      <c r="R21" s="106"/>
      <c r="S21" s="104"/>
      <c r="T21" s="104"/>
      <c r="U21" s="104"/>
      <c r="V21" s="104"/>
      <c r="W21" s="104"/>
      <c r="X21" s="104"/>
      <c r="Y21" s="104"/>
      <c r="Z21" s="104"/>
      <c r="AA21" s="104"/>
      <c r="AB21" s="105"/>
      <c r="AC21" s="103"/>
      <c r="AD21" s="106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5"/>
      <c r="BB21" s="138"/>
      <c r="BC21" s="104"/>
      <c r="BD21" s="104" t="s">
        <v>233</v>
      </c>
      <c r="BE21" s="104"/>
      <c r="BF21" s="104"/>
      <c r="BG21" s="104"/>
      <c r="BH21" s="104"/>
      <c r="BI21" s="104"/>
      <c r="BJ21" s="104"/>
      <c r="BK21" s="104"/>
      <c r="BL21" s="105"/>
    </row>
    <row r="22" spans="2:64" ht="62.4" x14ac:dyDescent="0.3">
      <c r="B22" s="108">
        <v>18</v>
      </c>
      <c r="C22" s="36" t="s">
        <v>77</v>
      </c>
      <c r="D22" s="36" t="s">
        <v>78</v>
      </c>
      <c r="E22" s="156"/>
      <c r="F22" s="103"/>
      <c r="G22" s="106"/>
      <c r="H22" s="106"/>
      <c r="I22" s="104"/>
      <c r="J22" s="104"/>
      <c r="K22" s="104"/>
      <c r="L22" s="104"/>
      <c r="M22" s="104"/>
      <c r="N22" s="104"/>
      <c r="O22" s="104"/>
      <c r="P22" s="105"/>
      <c r="Q22" s="103"/>
      <c r="R22" s="106"/>
      <c r="S22" s="104" t="s">
        <v>233</v>
      </c>
      <c r="T22" s="104"/>
      <c r="U22" s="104"/>
      <c r="V22" s="104"/>
      <c r="W22" s="104"/>
      <c r="X22" s="104"/>
      <c r="Y22" s="104"/>
      <c r="Z22" s="104"/>
      <c r="AA22" s="104"/>
      <c r="AB22" s="105"/>
      <c r="AC22" s="103"/>
      <c r="AD22" s="106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5"/>
      <c r="BB22" s="138"/>
      <c r="BC22" s="104"/>
      <c r="BD22" s="104"/>
      <c r="BE22" s="104"/>
      <c r="BF22" s="104"/>
      <c r="BG22" s="104"/>
      <c r="BH22" s="104"/>
      <c r="BI22" s="104"/>
      <c r="BJ22" s="104"/>
      <c r="BK22" s="104"/>
      <c r="BL22" s="105"/>
    </row>
    <row r="23" spans="2:64" ht="46.8" x14ac:dyDescent="0.3">
      <c r="B23" s="108">
        <v>19</v>
      </c>
      <c r="C23" s="36" t="s">
        <v>80</v>
      </c>
      <c r="D23" s="36" t="s">
        <v>81</v>
      </c>
      <c r="E23" s="156"/>
      <c r="F23" s="103"/>
      <c r="G23" s="106"/>
      <c r="H23" s="106"/>
      <c r="I23" s="104"/>
      <c r="J23" s="104"/>
      <c r="K23" s="104"/>
      <c r="L23" s="104"/>
      <c r="M23" s="104"/>
      <c r="N23" s="104"/>
      <c r="O23" s="104"/>
      <c r="P23" s="105"/>
      <c r="Q23" s="103" t="s">
        <v>233</v>
      </c>
      <c r="R23" s="106"/>
      <c r="S23" s="104" t="s">
        <v>233</v>
      </c>
      <c r="T23" s="104"/>
      <c r="U23" s="104"/>
      <c r="V23" s="104"/>
      <c r="W23" s="104"/>
      <c r="X23" s="104"/>
      <c r="Y23" s="104"/>
      <c r="Z23" s="104"/>
      <c r="AA23" s="104"/>
      <c r="AB23" s="105"/>
      <c r="AC23" s="103" t="s">
        <v>233</v>
      </c>
      <c r="AD23" s="106"/>
      <c r="AE23" s="104" t="s">
        <v>233</v>
      </c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 t="s">
        <v>233</v>
      </c>
      <c r="AQ23" s="104"/>
      <c r="AR23" s="104"/>
      <c r="AS23" s="104"/>
      <c r="AT23" s="104"/>
      <c r="AU23" s="104"/>
      <c r="AV23" s="104"/>
      <c r="AW23" s="104"/>
      <c r="AX23" s="104"/>
      <c r="AY23" s="104"/>
      <c r="AZ23" s="104" t="s">
        <v>233</v>
      </c>
      <c r="BA23" s="105"/>
      <c r="BB23" s="138"/>
      <c r="BC23" s="104"/>
      <c r="BD23" s="104"/>
      <c r="BE23" s="104"/>
      <c r="BF23" s="104"/>
      <c r="BG23" s="104"/>
      <c r="BH23" s="104"/>
      <c r="BI23" s="104"/>
      <c r="BJ23" s="104"/>
      <c r="BK23" s="104"/>
      <c r="BL23" s="105"/>
    </row>
    <row r="24" spans="2:64" ht="46.8" x14ac:dyDescent="0.3">
      <c r="B24" s="108">
        <v>20</v>
      </c>
      <c r="C24" s="36" t="s">
        <v>83</v>
      </c>
      <c r="D24" s="36" t="s">
        <v>84</v>
      </c>
      <c r="E24" s="156" t="s">
        <v>233</v>
      </c>
      <c r="F24" s="103"/>
      <c r="G24" s="106"/>
      <c r="H24" s="106"/>
      <c r="I24" s="104"/>
      <c r="J24" s="104"/>
      <c r="K24" s="104"/>
      <c r="L24" s="104"/>
      <c r="M24" s="104"/>
      <c r="N24" s="104"/>
      <c r="O24" s="104"/>
      <c r="P24" s="105"/>
      <c r="Q24" s="103"/>
      <c r="R24" s="106"/>
      <c r="S24" s="104"/>
      <c r="T24" s="104"/>
      <c r="U24" s="104"/>
      <c r="V24" s="104"/>
      <c r="W24" s="104"/>
      <c r="X24" s="104"/>
      <c r="Y24" s="104"/>
      <c r="Z24" s="104"/>
      <c r="AA24" s="104"/>
      <c r="AB24" s="105"/>
      <c r="AC24" s="103"/>
      <c r="AD24" s="106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5"/>
      <c r="BB24" s="138"/>
      <c r="BC24" s="104"/>
      <c r="BD24" s="104"/>
      <c r="BE24" s="104"/>
      <c r="BF24" s="104"/>
      <c r="BG24" s="104"/>
      <c r="BH24" s="104"/>
      <c r="BI24" s="104"/>
      <c r="BJ24" s="104"/>
      <c r="BK24" s="104" t="s">
        <v>233</v>
      </c>
      <c r="BL24" s="105" t="s">
        <v>233</v>
      </c>
    </row>
    <row r="25" spans="2:64" ht="46.8" x14ac:dyDescent="0.3">
      <c r="B25" s="118">
        <v>21</v>
      </c>
      <c r="C25" s="36" t="s">
        <v>86</v>
      </c>
      <c r="D25" s="36" t="s">
        <v>87</v>
      </c>
      <c r="E25" s="156"/>
      <c r="F25" s="103" t="s">
        <v>233</v>
      </c>
      <c r="G25" s="106"/>
      <c r="H25" s="106"/>
      <c r="I25" s="104"/>
      <c r="J25" s="104"/>
      <c r="K25" s="104"/>
      <c r="L25" s="104"/>
      <c r="M25" s="104"/>
      <c r="N25" s="104"/>
      <c r="O25" s="104"/>
      <c r="P25" s="105"/>
      <c r="Q25" s="103" t="s">
        <v>233</v>
      </c>
      <c r="R25" s="106"/>
      <c r="S25" s="104"/>
      <c r="T25" s="104"/>
      <c r="U25" s="104"/>
      <c r="V25" s="104"/>
      <c r="W25" s="104"/>
      <c r="X25" s="104"/>
      <c r="Y25" s="104"/>
      <c r="Z25" s="104"/>
      <c r="AA25" s="104"/>
      <c r="AB25" s="105"/>
      <c r="AC25" s="103"/>
      <c r="AD25" s="106"/>
      <c r="AE25" s="104"/>
      <c r="AF25" s="104"/>
      <c r="AG25" s="104"/>
      <c r="AH25" s="104"/>
      <c r="AI25" s="104" t="s">
        <v>233</v>
      </c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5"/>
      <c r="BB25" s="138"/>
      <c r="BC25" s="104"/>
      <c r="BD25" s="104"/>
      <c r="BE25" s="104"/>
      <c r="BF25" s="104"/>
      <c r="BG25" s="104"/>
      <c r="BH25" s="104"/>
      <c r="BI25" s="104"/>
      <c r="BJ25" s="104"/>
      <c r="BK25" s="104"/>
      <c r="BL25" s="105"/>
    </row>
    <row r="26" spans="2:64" ht="46.8" x14ac:dyDescent="0.3">
      <c r="B26" s="108">
        <v>22</v>
      </c>
      <c r="C26" s="36" t="s">
        <v>89</v>
      </c>
      <c r="D26" s="36" t="s">
        <v>90</v>
      </c>
      <c r="E26" s="156"/>
      <c r="F26" s="103" t="s">
        <v>233</v>
      </c>
      <c r="G26" s="106"/>
      <c r="H26" s="106"/>
      <c r="I26" s="104"/>
      <c r="J26" s="104"/>
      <c r="K26" s="104"/>
      <c r="L26" s="104"/>
      <c r="M26" s="104"/>
      <c r="N26" s="104"/>
      <c r="O26" s="104"/>
      <c r="P26" s="105"/>
      <c r="Q26" s="103"/>
      <c r="R26" s="106"/>
      <c r="S26" s="104"/>
      <c r="T26" s="104"/>
      <c r="U26" s="104"/>
      <c r="V26" s="104" t="s">
        <v>233</v>
      </c>
      <c r="W26" s="104"/>
      <c r="X26" s="104"/>
      <c r="Y26" s="104"/>
      <c r="Z26" s="104"/>
      <c r="AA26" s="104"/>
      <c r="AB26" s="105" t="s">
        <v>233</v>
      </c>
      <c r="AC26" s="103"/>
      <c r="AD26" s="106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 t="s">
        <v>233</v>
      </c>
      <c r="AV26" s="104"/>
      <c r="AW26" s="104"/>
      <c r="AX26" s="104"/>
      <c r="AY26" s="104"/>
      <c r="AZ26" s="104"/>
      <c r="BA26" s="105" t="s">
        <v>233</v>
      </c>
      <c r="BB26" s="138"/>
      <c r="BC26" s="104"/>
      <c r="BD26" s="104"/>
      <c r="BE26" s="104"/>
      <c r="BF26" s="104"/>
      <c r="BG26" s="104"/>
      <c r="BH26" s="104"/>
      <c r="BI26" s="104"/>
      <c r="BJ26" s="104"/>
      <c r="BK26" s="104"/>
      <c r="BL26" s="105"/>
    </row>
    <row r="27" spans="2:64" ht="62.4" x14ac:dyDescent="0.3">
      <c r="B27" s="108">
        <v>24</v>
      </c>
      <c r="C27" s="36" t="s">
        <v>92</v>
      </c>
      <c r="D27" s="36" t="s">
        <v>93</v>
      </c>
      <c r="E27" s="156"/>
      <c r="F27" s="103"/>
      <c r="G27" s="106"/>
      <c r="H27" s="106"/>
      <c r="I27" s="104"/>
      <c r="J27" s="104"/>
      <c r="K27" s="104"/>
      <c r="L27" s="104"/>
      <c r="M27" s="104"/>
      <c r="N27" s="104"/>
      <c r="O27" s="104"/>
      <c r="P27" s="105"/>
      <c r="Q27" s="103"/>
      <c r="R27" s="106"/>
      <c r="S27" s="104"/>
      <c r="T27" s="104"/>
      <c r="U27" s="104"/>
      <c r="V27" s="104"/>
      <c r="W27" s="104"/>
      <c r="X27" s="104"/>
      <c r="Y27" s="104"/>
      <c r="Z27" s="104"/>
      <c r="AA27" s="104"/>
      <c r="AB27" s="105"/>
      <c r="AC27" s="103"/>
      <c r="AD27" s="106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 t="s">
        <v>233</v>
      </c>
      <c r="AW27" s="104"/>
      <c r="AX27" s="104"/>
      <c r="AY27" s="104"/>
      <c r="AZ27" s="104"/>
      <c r="BA27" s="105"/>
      <c r="BB27" s="138"/>
      <c r="BC27" s="104"/>
      <c r="BD27" s="104" t="s">
        <v>233</v>
      </c>
      <c r="BE27" s="104"/>
      <c r="BF27" s="104"/>
      <c r="BG27" s="104"/>
      <c r="BH27" s="104"/>
      <c r="BI27" s="104"/>
      <c r="BJ27" s="104"/>
      <c r="BK27" s="104"/>
      <c r="BL27" s="105"/>
    </row>
    <row r="28" spans="2:64" ht="46.8" x14ac:dyDescent="0.3">
      <c r="B28" s="108">
        <v>25</v>
      </c>
      <c r="C28" s="36" t="s">
        <v>95</v>
      </c>
      <c r="D28" s="36" t="s">
        <v>93</v>
      </c>
      <c r="E28" s="156"/>
      <c r="F28" s="103"/>
      <c r="G28" s="106"/>
      <c r="H28" s="106"/>
      <c r="I28" s="104"/>
      <c r="J28" s="104"/>
      <c r="K28" s="104"/>
      <c r="L28" s="104"/>
      <c r="M28" s="104"/>
      <c r="N28" s="104"/>
      <c r="O28" s="104"/>
      <c r="P28" s="105"/>
      <c r="Q28" s="103"/>
      <c r="R28" s="106"/>
      <c r="S28" s="104"/>
      <c r="T28" s="104"/>
      <c r="U28" s="104"/>
      <c r="V28" s="104"/>
      <c r="W28" s="104"/>
      <c r="X28" s="104"/>
      <c r="Y28" s="104"/>
      <c r="Z28" s="104"/>
      <c r="AA28" s="104"/>
      <c r="AB28" s="105"/>
      <c r="AC28" s="103"/>
      <c r="AD28" s="106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 t="s">
        <v>233</v>
      </c>
      <c r="AW28" s="104"/>
      <c r="AX28" s="104"/>
      <c r="AY28" s="104"/>
      <c r="AZ28" s="104"/>
      <c r="BA28" s="105"/>
      <c r="BB28" s="138"/>
      <c r="BC28" s="104"/>
      <c r="BD28" s="104"/>
      <c r="BE28" s="104"/>
      <c r="BF28" s="104"/>
      <c r="BG28" s="104"/>
      <c r="BH28" s="104"/>
      <c r="BI28" s="104"/>
      <c r="BJ28" s="104"/>
      <c r="BK28" s="104"/>
      <c r="BL28" s="105"/>
    </row>
    <row r="29" spans="2:64" ht="62.4" x14ac:dyDescent="0.3">
      <c r="B29" s="108">
        <v>26</v>
      </c>
      <c r="C29" s="36" t="s">
        <v>97</v>
      </c>
      <c r="D29" s="36" t="s">
        <v>90</v>
      </c>
      <c r="E29" s="156"/>
      <c r="F29" s="103" t="s">
        <v>233</v>
      </c>
      <c r="G29" s="106"/>
      <c r="H29" s="106"/>
      <c r="I29" s="104"/>
      <c r="J29" s="104"/>
      <c r="K29" s="104"/>
      <c r="L29" s="104"/>
      <c r="M29" s="104"/>
      <c r="N29" s="104"/>
      <c r="O29" s="104"/>
      <c r="P29" s="105"/>
      <c r="Q29" s="103"/>
      <c r="R29" s="106"/>
      <c r="S29" s="104"/>
      <c r="T29" s="104"/>
      <c r="U29" s="104"/>
      <c r="V29" s="104" t="s">
        <v>233</v>
      </c>
      <c r="W29" s="104"/>
      <c r="X29" s="104"/>
      <c r="Y29" s="104"/>
      <c r="Z29" s="104"/>
      <c r="AA29" s="104"/>
      <c r="AB29" s="105" t="s">
        <v>233</v>
      </c>
      <c r="AC29" s="103"/>
      <c r="AD29" s="106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 t="s">
        <v>233</v>
      </c>
      <c r="AV29" s="104"/>
      <c r="AW29" s="104"/>
      <c r="AX29" s="104"/>
      <c r="AY29" s="104"/>
      <c r="AZ29" s="104"/>
      <c r="BA29" s="105" t="s">
        <v>233</v>
      </c>
      <c r="BB29" s="138"/>
      <c r="BC29" s="104"/>
      <c r="BD29" s="104"/>
      <c r="BE29" s="104"/>
      <c r="BF29" s="104"/>
      <c r="BG29" s="104"/>
      <c r="BH29" s="104"/>
      <c r="BI29" s="104"/>
      <c r="BJ29" s="104"/>
      <c r="BK29" s="104"/>
      <c r="BL29" s="105"/>
    </row>
    <row r="30" spans="2:64" ht="31.2" x14ac:dyDescent="0.3">
      <c r="B30" s="108">
        <v>28</v>
      </c>
      <c r="C30" s="36" t="s">
        <v>99</v>
      </c>
      <c r="D30" s="36" t="s">
        <v>71</v>
      </c>
      <c r="E30" s="156"/>
      <c r="F30" s="103"/>
      <c r="G30" s="106"/>
      <c r="H30" s="106"/>
      <c r="I30" s="104"/>
      <c r="J30" s="104"/>
      <c r="K30" s="104"/>
      <c r="L30" s="104"/>
      <c r="M30" s="104"/>
      <c r="N30" s="104"/>
      <c r="O30" s="104"/>
      <c r="P30" s="105"/>
      <c r="Q30" s="103"/>
      <c r="R30" s="106"/>
      <c r="S30" s="104"/>
      <c r="T30" s="104"/>
      <c r="U30" s="104"/>
      <c r="V30" s="104"/>
      <c r="W30" s="104"/>
      <c r="X30" s="104"/>
      <c r="Y30" s="104"/>
      <c r="Z30" s="104"/>
      <c r="AA30" s="104" t="s">
        <v>233</v>
      </c>
      <c r="AB30" s="105"/>
      <c r="AC30" s="103"/>
      <c r="AD30" s="106"/>
      <c r="AE30" s="104"/>
      <c r="AF30" s="104"/>
      <c r="AG30" s="104"/>
      <c r="AH30" s="104"/>
      <c r="AI30" s="104"/>
      <c r="AJ30" s="104"/>
      <c r="AK30" s="104"/>
      <c r="AL30" s="104" t="s">
        <v>233</v>
      </c>
      <c r="AM30" s="104"/>
      <c r="AN30" s="104" t="s">
        <v>233</v>
      </c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5"/>
      <c r="BB30" s="138"/>
      <c r="BC30" s="104"/>
      <c r="BD30" s="104"/>
      <c r="BE30" s="104"/>
      <c r="BF30" s="104"/>
      <c r="BG30" s="104"/>
      <c r="BH30" s="104"/>
      <c r="BI30" s="104"/>
      <c r="BJ30" s="104"/>
      <c r="BK30" s="104"/>
      <c r="BL30" s="105"/>
    </row>
    <row r="31" spans="2:64" ht="62.4" x14ac:dyDescent="0.3">
      <c r="B31" s="108">
        <v>29</v>
      </c>
      <c r="C31" s="36" t="s">
        <v>101</v>
      </c>
      <c r="D31" s="36" t="s">
        <v>102</v>
      </c>
      <c r="E31" s="156"/>
      <c r="F31" s="103"/>
      <c r="G31" s="106"/>
      <c r="H31" s="106"/>
      <c r="I31" s="104"/>
      <c r="J31" s="104"/>
      <c r="K31" s="104"/>
      <c r="L31" s="104"/>
      <c r="M31" s="104"/>
      <c r="N31" s="104"/>
      <c r="O31" s="104"/>
      <c r="P31" s="105"/>
      <c r="Q31" s="103"/>
      <c r="R31" s="106"/>
      <c r="S31" s="104"/>
      <c r="T31" s="104"/>
      <c r="U31" s="104"/>
      <c r="V31" s="104"/>
      <c r="W31" s="104"/>
      <c r="X31" s="104"/>
      <c r="Y31" s="104"/>
      <c r="Z31" s="104"/>
      <c r="AA31" s="104"/>
      <c r="AB31" s="105"/>
      <c r="AC31" s="103"/>
      <c r="AD31" s="106"/>
      <c r="AE31" s="104"/>
      <c r="AF31" s="104"/>
      <c r="AG31" s="104"/>
      <c r="AH31" s="104"/>
      <c r="AI31" s="104"/>
      <c r="AJ31" s="104"/>
      <c r="AK31" s="104"/>
      <c r="AL31" s="104"/>
      <c r="AM31" s="104" t="s">
        <v>233</v>
      </c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5"/>
      <c r="BB31" s="138"/>
      <c r="BC31" s="104" t="s">
        <v>233</v>
      </c>
      <c r="BD31" s="104"/>
      <c r="BE31" s="104"/>
      <c r="BF31" s="104"/>
      <c r="BG31" s="123"/>
      <c r="BH31" s="104" t="s">
        <v>233</v>
      </c>
      <c r="BI31" s="104"/>
      <c r="BJ31" s="104"/>
      <c r="BK31" s="104"/>
      <c r="BL31" s="105"/>
    </row>
    <row r="32" spans="2:64" ht="46.8" x14ac:dyDescent="0.3">
      <c r="B32" s="34">
        <v>30</v>
      </c>
      <c r="C32" s="35" t="s">
        <v>105</v>
      </c>
      <c r="D32" s="36" t="s">
        <v>106</v>
      </c>
      <c r="E32" s="156"/>
      <c r="F32" s="103"/>
      <c r="G32" s="106"/>
      <c r="H32" s="106"/>
      <c r="I32" s="104"/>
      <c r="J32" s="104"/>
      <c r="K32" s="104"/>
      <c r="L32" s="104"/>
      <c r="M32" s="104"/>
      <c r="N32" s="104"/>
      <c r="O32" s="104"/>
      <c r="P32" s="105"/>
      <c r="Q32" s="103"/>
      <c r="R32" s="106"/>
      <c r="S32" s="104"/>
      <c r="T32" s="104"/>
      <c r="U32" s="104"/>
      <c r="V32" s="104"/>
      <c r="W32" s="104"/>
      <c r="X32" s="104"/>
      <c r="Y32" s="104"/>
      <c r="Z32" s="104"/>
      <c r="AA32" s="104"/>
      <c r="AB32" s="105"/>
      <c r="AC32" s="103"/>
      <c r="AD32" s="106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 t="s">
        <v>233</v>
      </c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5"/>
      <c r="BB32" s="138"/>
      <c r="BC32" s="104"/>
      <c r="BD32" s="104" t="s">
        <v>233</v>
      </c>
      <c r="BE32" s="104"/>
      <c r="BF32" s="104"/>
      <c r="BG32" s="104"/>
      <c r="BH32" s="104"/>
      <c r="BI32" s="104"/>
      <c r="BJ32" s="104"/>
      <c r="BK32" s="104"/>
      <c r="BL32" s="105"/>
    </row>
    <row r="33" spans="2:64" ht="62.4" x14ac:dyDescent="0.3">
      <c r="B33" s="34">
        <v>31</v>
      </c>
      <c r="C33" s="35" t="s">
        <v>108</v>
      </c>
      <c r="D33" s="36" t="s">
        <v>109</v>
      </c>
      <c r="E33" s="156"/>
      <c r="F33" s="103"/>
      <c r="G33" s="106"/>
      <c r="H33" s="106"/>
      <c r="I33" s="104"/>
      <c r="J33" s="104"/>
      <c r="K33" s="104"/>
      <c r="L33" s="104"/>
      <c r="M33" s="104"/>
      <c r="N33" s="104"/>
      <c r="O33" s="104"/>
      <c r="P33" s="105"/>
      <c r="Q33" s="103"/>
      <c r="R33" s="106"/>
      <c r="S33" s="104"/>
      <c r="T33" s="104"/>
      <c r="U33" s="104"/>
      <c r="V33" s="104"/>
      <c r="W33" s="104"/>
      <c r="X33" s="104"/>
      <c r="Y33" s="104"/>
      <c r="Z33" s="104"/>
      <c r="AA33" s="104"/>
      <c r="AB33" s="105"/>
      <c r="AC33" s="103"/>
      <c r="AD33" s="106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5"/>
      <c r="BB33" s="138"/>
      <c r="BC33" s="104"/>
      <c r="BD33" s="104" t="s">
        <v>233</v>
      </c>
      <c r="BE33" s="104"/>
      <c r="BF33" s="104"/>
      <c r="BG33" s="104"/>
      <c r="BH33" s="104"/>
      <c r="BI33" s="104"/>
      <c r="BJ33" s="104"/>
      <c r="BK33" s="104"/>
      <c r="BL33" s="105"/>
    </row>
    <row r="34" spans="2:64" ht="46.8" x14ac:dyDescent="0.3">
      <c r="B34" s="108">
        <v>32</v>
      </c>
      <c r="C34" s="36" t="s">
        <v>111</v>
      </c>
      <c r="D34" s="36" t="s">
        <v>112</v>
      </c>
      <c r="E34" s="156"/>
      <c r="F34" s="103"/>
      <c r="G34" s="106"/>
      <c r="H34" s="106"/>
      <c r="I34" s="104"/>
      <c r="J34" s="104"/>
      <c r="K34" s="104"/>
      <c r="L34" s="104"/>
      <c r="M34" s="104"/>
      <c r="N34" s="104"/>
      <c r="O34" s="104"/>
      <c r="P34" s="105"/>
      <c r="Q34" s="103"/>
      <c r="R34" s="106"/>
      <c r="S34" s="104" t="s">
        <v>233</v>
      </c>
      <c r="T34" s="104"/>
      <c r="U34" s="104"/>
      <c r="V34" s="104"/>
      <c r="W34" s="104"/>
      <c r="X34" s="104"/>
      <c r="Y34" s="104"/>
      <c r="Z34" s="104"/>
      <c r="AA34" s="104"/>
      <c r="AB34" s="105"/>
      <c r="AC34" s="103"/>
      <c r="AD34" s="106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5"/>
      <c r="BB34" s="138"/>
      <c r="BC34" s="104"/>
      <c r="BD34" s="104"/>
      <c r="BE34" s="104"/>
      <c r="BF34" s="104"/>
      <c r="BG34" s="104"/>
      <c r="BH34" s="104"/>
      <c r="BI34" s="104"/>
      <c r="BJ34" s="104"/>
      <c r="BK34" s="104"/>
      <c r="BL34" s="105"/>
    </row>
    <row r="35" spans="2:64" ht="46.8" x14ac:dyDescent="0.3">
      <c r="B35" s="108">
        <v>33</v>
      </c>
      <c r="C35" s="36" t="s">
        <v>114</v>
      </c>
      <c r="D35" s="36" t="s">
        <v>115</v>
      </c>
      <c r="E35" s="156"/>
      <c r="F35" s="103"/>
      <c r="G35" s="106"/>
      <c r="H35" s="106"/>
      <c r="I35" s="104"/>
      <c r="J35" s="104"/>
      <c r="K35" s="104"/>
      <c r="L35" s="104"/>
      <c r="M35" s="104"/>
      <c r="N35" s="104"/>
      <c r="O35" s="104"/>
      <c r="P35" s="105"/>
      <c r="Q35" s="103"/>
      <c r="R35" s="106"/>
      <c r="S35" s="104"/>
      <c r="T35" s="104"/>
      <c r="U35" s="104"/>
      <c r="V35" s="104"/>
      <c r="W35" s="104"/>
      <c r="X35" s="104"/>
      <c r="Y35" s="104"/>
      <c r="Z35" s="104"/>
      <c r="AA35" s="104"/>
      <c r="AB35" s="105"/>
      <c r="AC35" s="103"/>
      <c r="AD35" s="106" t="s">
        <v>233</v>
      </c>
      <c r="AE35" s="104"/>
      <c r="AF35" s="104"/>
      <c r="AG35" s="104" t="s">
        <v>233</v>
      </c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 t="s">
        <v>233</v>
      </c>
      <c r="AS35" s="104"/>
      <c r="AT35" s="104"/>
      <c r="AU35" s="104"/>
      <c r="AV35" s="104"/>
      <c r="AW35" s="104"/>
      <c r="AX35" s="104"/>
      <c r="AY35" s="104"/>
      <c r="AZ35" s="104"/>
      <c r="BA35" s="105"/>
      <c r="BB35" s="138"/>
      <c r="BC35" s="104"/>
      <c r="BD35" s="104"/>
      <c r="BE35" s="104" t="s">
        <v>233</v>
      </c>
      <c r="BF35" s="104"/>
      <c r="BG35" s="104"/>
      <c r="BH35" s="104" t="s">
        <v>233</v>
      </c>
      <c r="BI35" s="104" t="s">
        <v>233</v>
      </c>
      <c r="BJ35" s="104"/>
      <c r="BK35" s="104"/>
      <c r="BL35" s="105"/>
    </row>
    <row r="36" spans="2:64" ht="46.8" x14ac:dyDescent="0.3">
      <c r="B36" s="108">
        <v>34</v>
      </c>
      <c r="C36" s="36" t="s">
        <v>117</v>
      </c>
      <c r="D36" s="36" t="s">
        <v>118</v>
      </c>
      <c r="E36" s="156"/>
      <c r="F36" s="103" t="s">
        <v>233</v>
      </c>
      <c r="G36" s="106" t="s">
        <v>233</v>
      </c>
      <c r="H36" s="106" t="s">
        <v>233</v>
      </c>
      <c r="I36" s="104"/>
      <c r="J36" s="104"/>
      <c r="K36" s="104"/>
      <c r="L36" s="104"/>
      <c r="M36" s="104"/>
      <c r="N36" s="104"/>
      <c r="O36" s="104"/>
      <c r="P36" s="105"/>
      <c r="Q36" s="103"/>
      <c r="R36" s="106"/>
      <c r="S36" s="104"/>
      <c r="T36" s="104"/>
      <c r="U36" s="104"/>
      <c r="V36" s="104"/>
      <c r="W36" s="104"/>
      <c r="X36" s="104"/>
      <c r="Y36" s="104"/>
      <c r="Z36" s="104"/>
      <c r="AA36" s="104"/>
      <c r="AB36" s="105"/>
      <c r="AC36" s="103"/>
      <c r="AD36" s="106"/>
      <c r="AE36" s="104"/>
      <c r="AF36" s="104" t="s">
        <v>233</v>
      </c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5">
        <v>1</v>
      </c>
      <c r="BB36" s="138"/>
      <c r="BC36" s="104"/>
      <c r="BD36" s="104"/>
      <c r="BE36" s="104"/>
      <c r="BF36" s="104"/>
      <c r="BG36" s="104"/>
      <c r="BH36" s="104"/>
      <c r="BI36" s="104"/>
      <c r="BJ36" s="104"/>
      <c r="BK36" s="104"/>
      <c r="BL36" s="105"/>
    </row>
    <row r="37" spans="2:64" ht="46.8" x14ac:dyDescent="0.3">
      <c r="B37" s="108">
        <v>35</v>
      </c>
      <c r="C37" s="36" t="s">
        <v>120</v>
      </c>
      <c r="D37" s="36" t="s">
        <v>121</v>
      </c>
      <c r="E37" s="156"/>
      <c r="F37" s="103"/>
      <c r="G37" s="106"/>
      <c r="H37" s="106"/>
      <c r="I37" s="104"/>
      <c r="J37" s="104"/>
      <c r="K37" s="104"/>
      <c r="L37" s="104"/>
      <c r="M37" s="104"/>
      <c r="N37" s="104"/>
      <c r="O37" s="104"/>
      <c r="P37" s="105"/>
      <c r="Q37" s="103"/>
      <c r="R37" s="106"/>
      <c r="S37" s="104"/>
      <c r="T37" s="104"/>
      <c r="U37" s="104"/>
      <c r="V37" s="104"/>
      <c r="W37" s="104"/>
      <c r="X37" s="104"/>
      <c r="Y37" s="104"/>
      <c r="Z37" s="104"/>
      <c r="AA37" s="104" t="s">
        <v>233</v>
      </c>
      <c r="AB37" s="105"/>
      <c r="AC37" s="103"/>
      <c r="AD37" s="106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5"/>
      <c r="BB37" s="138"/>
      <c r="BC37" s="104"/>
      <c r="BD37" s="104"/>
      <c r="BE37" s="104"/>
      <c r="BF37" s="104"/>
      <c r="BG37" s="104"/>
      <c r="BH37" s="104"/>
      <c r="BI37" s="104"/>
      <c r="BJ37" s="104"/>
      <c r="BK37" s="104"/>
      <c r="BL37" s="105"/>
    </row>
    <row r="38" spans="2:64" ht="62.4" x14ac:dyDescent="0.3">
      <c r="B38" s="108">
        <v>36</v>
      </c>
      <c r="C38" s="36" t="s">
        <v>123</v>
      </c>
      <c r="D38" s="36" t="s">
        <v>124</v>
      </c>
      <c r="E38" s="156"/>
      <c r="F38" s="103"/>
      <c r="G38" s="106"/>
      <c r="H38" s="106" t="s">
        <v>233</v>
      </c>
      <c r="I38" s="104"/>
      <c r="J38" s="104"/>
      <c r="K38" s="104"/>
      <c r="L38" s="104"/>
      <c r="M38" s="104"/>
      <c r="N38" s="104"/>
      <c r="O38" s="104"/>
      <c r="P38" s="105"/>
      <c r="Q38" s="103"/>
      <c r="R38" s="106"/>
      <c r="S38" s="104"/>
      <c r="T38" s="104"/>
      <c r="U38" s="104"/>
      <c r="V38" s="104"/>
      <c r="W38" s="104"/>
      <c r="X38" s="104"/>
      <c r="Y38" s="104" t="s">
        <v>233</v>
      </c>
      <c r="Z38" s="104"/>
      <c r="AA38" s="104"/>
      <c r="AB38" s="105"/>
      <c r="AC38" s="103"/>
      <c r="AD38" s="106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5" t="s">
        <v>233</v>
      </c>
      <c r="BB38" s="138"/>
      <c r="BC38" s="104"/>
      <c r="BD38" s="104"/>
      <c r="BE38" s="104"/>
      <c r="BF38" s="104"/>
      <c r="BG38" s="104"/>
      <c r="BH38" s="104"/>
      <c r="BI38" s="104"/>
      <c r="BJ38" s="104"/>
      <c r="BK38" s="104"/>
      <c r="BL38" s="105"/>
    </row>
    <row r="39" spans="2:64" ht="31.2" x14ac:dyDescent="0.3">
      <c r="B39" s="108">
        <v>37</v>
      </c>
      <c r="C39" s="36" t="s">
        <v>126</v>
      </c>
      <c r="D39" s="36" t="s">
        <v>127</v>
      </c>
      <c r="E39" s="156"/>
      <c r="F39" s="103"/>
      <c r="G39" s="106"/>
      <c r="H39" s="106"/>
      <c r="I39" s="104" t="s">
        <v>233</v>
      </c>
      <c r="J39" s="104"/>
      <c r="K39" s="104"/>
      <c r="L39" s="104"/>
      <c r="M39" s="104"/>
      <c r="N39" s="104"/>
      <c r="O39" s="104"/>
      <c r="P39" s="105"/>
      <c r="Q39" s="103"/>
      <c r="R39" s="106"/>
      <c r="S39" s="104" t="s">
        <v>233</v>
      </c>
      <c r="T39" s="104"/>
      <c r="U39" s="104"/>
      <c r="V39" s="104"/>
      <c r="W39" s="104"/>
      <c r="X39" s="104"/>
      <c r="Y39" s="104"/>
      <c r="Z39" s="104"/>
      <c r="AA39" s="104"/>
      <c r="AB39" s="105"/>
      <c r="AC39" s="103"/>
      <c r="AD39" s="106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5"/>
      <c r="BB39" s="138"/>
      <c r="BC39" s="104"/>
      <c r="BD39" s="104"/>
      <c r="BE39" s="104"/>
      <c r="BF39" s="104"/>
      <c r="BG39" s="104"/>
      <c r="BH39" s="104"/>
      <c r="BI39" s="104"/>
      <c r="BJ39" s="104"/>
      <c r="BK39" s="104"/>
      <c r="BL39" s="105"/>
    </row>
    <row r="40" spans="2:64" ht="46.8" x14ac:dyDescent="0.3">
      <c r="B40" s="108">
        <v>38</v>
      </c>
      <c r="C40" s="36" t="s">
        <v>129</v>
      </c>
      <c r="D40" s="36" t="s">
        <v>130</v>
      </c>
      <c r="E40" s="156"/>
      <c r="F40" s="103"/>
      <c r="G40" s="106"/>
      <c r="H40" s="106"/>
      <c r="I40" s="104"/>
      <c r="J40" s="104"/>
      <c r="K40" s="104"/>
      <c r="L40" s="104"/>
      <c r="M40" s="104"/>
      <c r="N40" s="104"/>
      <c r="O40" s="104"/>
      <c r="P40" s="105"/>
      <c r="Q40" s="103"/>
      <c r="R40" s="106"/>
      <c r="S40" s="104"/>
      <c r="T40" s="104"/>
      <c r="U40" s="104"/>
      <c r="V40" s="104"/>
      <c r="W40" s="104"/>
      <c r="X40" s="104" t="s">
        <v>233</v>
      </c>
      <c r="Y40" s="104"/>
      <c r="Z40" s="104"/>
      <c r="AA40" s="104"/>
      <c r="AB40" s="105"/>
      <c r="AC40" s="103"/>
      <c r="AD40" s="106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5" t="s">
        <v>233</v>
      </c>
      <c r="BB40" s="138"/>
      <c r="BC40" s="104"/>
      <c r="BD40" s="104"/>
      <c r="BE40" s="104"/>
      <c r="BF40" s="104"/>
      <c r="BG40" s="104"/>
      <c r="BH40" s="104"/>
      <c r="BI40" s="104"/>
      <c r="BJ40" s="104"/>
      <c r="BK40" s="104"/>
      <c r="BL40" s="105"/>
    </row>
    <row r="41" spans="2:64" x14ac:dyDescent="0.3">
      <c r="B41" s="34">
        <v>39</v>
      </c>
      <c r="C41" s="2" t="s">
        <v>132</v>
      </c>
      <c r="D41" s="2" t="s">
        <v>26</v>
      </c>
      <c r="E41" s="156"/>
      <c r="F41" s="103"/>
      <c r="G41" s="106"/>
      <c r="H41" s="106"/>
      <c r="I41" s="104"/>
      <c r="J41" s="104"/>
      <c r="K41" s="104"/>
      <c r="L41" s="104"/>
      <c r="M41" s="104"/>
      <c r="N41" s="104"/>
      <c r="O41" s="104"/>
      <c r="P41" s="105"/>
      <c r="Q41" s="103" t="s">
        <v>233</v>
      </c>
      <c r="R41" s="106" t="s">
        <v>233</v>
      </c>
      <c r="S41" s="104" t="s">
        <v>233</v>
      </c>
      <c r="T41" s="104" t="s">
        <v>233</v>
      </c>
      <c r="U41" s="104" t="s">
        <v>233</v>
      </c>
      <c r="V41" s="104"/>
      <c r="W41" s="104"/>
      <c r="X41" s="104"/>
      <c r="Y41" s="104"/>
      <c r="Z41" s="104"/>
      <c r="AA41" s="104"/>
      <c r="AB41" s="105"/>
      <c r="AC41" s="103"/>
      <c r="AD41" s="106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 t="s">
        <v>233</v>
      </c>
      <c r="BA41" s="105"/>
      <c r="BB41" s="138"/>
      <c r="BC41" s="104"/>
      <c r="BD41" s="104"/>
      <c r="BE41" s="104"/>
      <c r="BF41" s="104"/>
      <c r="BG41" s="104"/>
      <c r="BH41" s="104"/>
      <c r="BI41" s="104"/>
      <c r="BJ41" s="104"/>
      <c r="BK41" s="104"/>
      <c r="BL41" s="105"/>
    </row>
    <row r="42" spans="2:64" ht="62.4" x14ac:dyDescent="0.3">
      <c r="B42" s="34">
        <v>40</v>
      </c>
      <c r="C42" s="35" t="s">
        <v>134</v>
      </c>
      <c r="D42" s="36" t="s">
        <v>135</v>
      </c>
      <c r="E42" s="156"/>
      <c r="F42" s="103"/>
      <c r="G42" s="106"/>
      <c r="H42" s="106"/>
      <c r="I42" s="104"/>
      <c r="J42" s="104"/>
      <c r="K42" s="104"/>
      <c r="L42" s="104"/>
      <c r="M42" s="104"/>
      <c r="N42" s="104"/>
      <c r="O42" s="104"/>
      <c r="P42" s="105"/>
      <c r="Q42" s="103"/>
      <c r="R42" s="106"/>
      <c r="S42" s="104"/>
      <c r="T42" s="104"/>
      <c r="U42" s="104"/>
      <c r="V42" s="104"/>
      <c r="W42" s="104"/>
      <c r="X42" s="104"/>
      <c r="Y42" s="104"/>
      <c r="Z42" s="104"/>
      <c r="AA42" s="104"/>
      <c r="AB42" s="105"/>
      <c r="AC42" s="103"/>
      <c r="AD42" s="106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5"/>
      <c r="BB42" s="138"/>
      <c r="BC42" s="104"/>
      <c r="BD42" s="104"/>
      <c r="BE42" s="104"/>
      <c r="BF42" s="104"/>
      <c r="BG42" s="104"/>
      <c r="BH42" s="104"/>
      <c r="BI42" s="104"/>
      <c r="BJ42" s="104"/>
      <c r="BK42" s="104"/>
      <c r="BL42" s="105"/>
    </row>
    <row r="43" spans="2:64" ht="31.2" x14ac:dyDescent="0.3">
      <c r="B43" s="108">
        <v>42</v>
      </c>
      <c r="C43" s="36" t="s">
        <v>137</v>
      </c>
      <c r="D43" s="36" t="s">
        <v>138</v>
      </c>
      <c r="E43" s="156"/>
      <c r="F43" s="103" t="s">
        <v>233</v>
      </c>
      <c r="G43" s="106"/>
      <c r="H43" s="106"/>
      <c r="I43" s="104"/>
      <c r="J43" s="104"/>
      <c r="K43" s="104"/>
      <c r="L43" s="104"/>
      <c r="M43" s="104"/>
      <c r="N43" s="104"/>
      <c r="O43" s="104"/>
      <c r="P43" s="105"/>
      <c r="Q43" s="103"/>
      <c r="R43" s="106"/>
      <c r="S43" s="104"/>
      <c r="T43" s="104"/>
      <c r="U43" s="104"/>
      <c r="V43" s="104"/>
      <c r="W43" s="104"/>
      <c r="X43" s="104"/>
      <c r="Y43" s="104"/>
      <c r="Z43" s="104"/>
      <c r="AA43" s="104"/>
      <c r="AB43" s="105"/>
      <c r="AC43" s="103"/>
      <c r="AD43" s="106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5"/>
      <c r="BB43" s="138"/>
      <c r="BC43" s="104"/>
      <c r="BD43" s="104"/>
      <c r="BE43" s="104"/>
      <c r="BF43" s="104"/>
      <c r="BG43" s="104"/>
      <c r="BH43" s="104"/>
      <c r="BI43" s="104"/>
      <c r="BJ43" s="104"/>
      <c r="BK43" s="104"/>
      <c r="BL43" s="105"/>
    </row>
    <row r="44" spans="2:64" ht="31.2" x14ac:dyDescent="0.3">
      <c r="B44" s="108">
        <v>43</v>
      </c>
      <c r="C44" s="36" t="s">
        <v>140</v>
      </c>
      <c r="D44" s="36" t="s">
        <v>141</v>
      </c>
      <c r="E44" s="156"/>
      <c r="F44" s="103"/>
      <c r="G44" s="106"/>
      <c r="H44" s="106"/>
      <c r="I44" s="104"/>
      <c r="J44" s="104"/>
      <c r="K44" s="104"/>
      <c r="L44" s="104"/>
      <c r="M44" s="104"/>
      <c r="N44" s="104"/>
      <c r="O44" s="104"/>
      <c r="P44" s="105"/>
      <c r="Q44" s="103"/>
      <c r="R44" s="106"/>
      <c r="S44" s="104"/>
      <c r="T44" s="104"/>
      <c r="U44" s="104"/>
      <c r="V44" s="104"/>
      <c r="W44" s="104"/>
      <c r="X44" s="104"/>
      <c r="Y44" s="104"/>
      <c r="Z44" s="104"/>
      <c r="AA44" s="104"/>
      <c r="AB44" s="105"/>
      <c r="AC44" s="103"/>
      <c r="AD44" s="106"/>
      <c r="AE44" s="104"/>
      <c r="AF44" s="104"/>
      <c r="AG44" s="104"/>
      <c r="AH44" s="104" t="s">
        <v>233</v>
      </c>
      <c r="AI44" s="104"/>
      <c r="AJ44" s="104"/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5"/>
      <c r="BB44" s="138"/>
      <c r="BC44" s="104"/>
      <c r="BD44" s="104"/>
      <c r="BE44" s="104"/>
      <c r="BF44" s="104"/>
      <c r="BG44" s="104"/>
      <c r="BH44" s="104"/>
      <c r="BI44" s="104"/>
      <c r="BJ44" s="104"/>
      <c r="BK44" s="104"/>
      <c r="BL44" s="105"/>
    </row>
    <row r="45" spans="2:64" ht="46.8" x14ac:dyDescent="0.3">
      <c r="B45" s="108">
        <v>44</v>
      </c>
      <c r="C45" s="36" t="s">
        <v>143</v>
      </c>
      <c r="D45" s="36" t="s">
        <v>144</v>
      </c>
      <c r="E45" s="156"/>
      <c r="F45" s="103"/>
      <c r="G45" s="106"/>
      <c r="H45" s="106"/>
      <c r="I45" s="104"/>
      <c r="J45" s="104"/>
      <c r="K45" s="104"/>
      <c r="L45" s="104"/>
      <c r="M45" s="104"/>
      <c r="N45" s="104"/>
      <c r="O45" s="104"/>
      <c r="P45" s="105"/>
      <c r="Q45" s="103"/>
      <c r="R45" s="106"/>
      <c r="S45" s="104"/>
      <c r="T45" s="104"/>
      <c r="U45" s="104"/>
      <c r="V45" s="104"/>
      <c r="W45" s="104"/>
      <c r="X45" s="104"/>
      <c r="Y45" s="104"/>
      <c r="Z45" s="104"/>
      <c r="AA45" s="104"/>
      <c r="AB45" s="105"/>
      <c r="AC45" s="103"/>
      <c r="AD45" s="106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5"/>
      <c r="BB45" s="138"/>
      <c r="BC45" s="104"/>
      <c r="BD45" s="104"/>
      <c r="BE45" s="104" t="s">
        <v>233</v>
      </c>
      <c r="BF45" s="104"/>
      <c r="BG45" s="104"/>
      <c r="BH45" s="104"/>
      <c r="BI45" s="104"/>
      <c r="BJ45" s="104"/>
      <c r="BK45" s="104"/>
      <c r="BL45" s="105"/>
    </row>
    <row r="46" spans="2:64" ht="62.4" x14ac:dyDescent="0.3">
      <c r="B46" s="108">
        <v>45</v>
      </c>
      <c r="C46" s="36" t="s">
        <v>146</v>
      </c>
      <c r="D46" s="36" t="s">
        <v>147</v>
      </c>
      <c r="E46" s="156"/>
      <c r="F46" s="103"/>
      <c r="G46" s="106"/>
      <c r="H46" s="106"/>
      <c r="I46" s="104"/>
      <c r="J46" s="104"/>
      <c r="K46" s="104"/>
      <c r="L46" s="104"/>
      <c r="M46" s="104"/>
      <c r="N46" s="104"/>
      <c r="O46" s="104"/>
      <c r="P46" s="105"/>
      <c r="Q46" s="103"/>
      <c r="R46" s="106"/>
      <c r="S46" s="104"/>
      <c r="T46" s="104"/>
      <c r="U46" s="104"/>
      <c r="V46" s="104"/>
      <c r="W46" s="104"/>
      <c r="X46" s="104"/>
      <c r="Y46" s="104"/>
      <c r="Z46" s="104"/>
      <c r="AA46" s="104"/>
      <c r="AB46" s="105"/>
      <c r="AC46" s="103"/>
      <c r="AD46" s="106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5"/>
      <c r="BB46" s="138"/>
      <c r="BC46" s="104"/>
      <c r="BD46" s="104" t="s">
        <v>233</v>
      </c>
      <c r="BE46" s="104"/>
      <c r="BF46" s="104" t="s">
        <v>233</v>
      </c>
      <c r="BG46" s="104"/>
      <c r="BH46" s="104"/>
      <c r="BI46" s="104"/>
      <c r="BJ46" s="104"/>
      <c r="BK46" s="104"/>
      <c r="BL46" s="105"/>
    </row>
    <row r="47" spans="2:64" ht="46.8" x14ac:dyDescent="0.3">
      <c r="B47" s="108">
        <v>46</v>
      </c>
      <c r="C47" s="36" t="s">
        <v>149</v>
      </c>
      <c r="D47" s="36" t="s">
        <v>150</v>
      </c>
      <c r="E47" s="156"/>
      <c r="F47" s="103"/>
      <c r="G47" s="106"/>
      <c r="H47" s="106"/>
      <c r="I47" s="104"/>
      <c r="J47" s="104"/>
      <c r="K47" s="104"/>
      <c r="L47" s="104"/>
      <c r="M47" s="104"/>
      <c r="N47" s="104"/>
      <c r="O47" s="104"/>
      <c r="P47" s="105"/>
      <c r="Q47" s="103"/>
      <c r="R47" s="106"/>
      <c r="S47" s="104"/>
      <c r="T47" s="104"/>
      <c r="U47" s="104"/>
      <c r="V47" s="104"/>
      <c r="W47" s="104"/>
      <c r="X47" s="104"/>
      <c r="Y47" s="104"/>
      <c r="Z47" s="104"/>
      <c r="AA47" s="104"/>
      <c r="AB47" s="105"/>
      <c r="AC47" s="103"/>
      <c r="AD47" s="106"/>
      <c r="AE47" s="104"/>
      <c r="AF47" s="104"/>
      <c r="AG47" s="104"/>
      <c r="AH47" s="104"/>
      <c r="AI47" s="104"/>
      <c r="AJ47" s="104"/>
      <c r="AK47" s="104"/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 t="s">
        <v>233</v>
      </c>
      <c r="AY47" s="104"/>
      <c r="AZ47" s="104"/>
      <c r="BA47" s="105"/>
      <c r="BB47" s="138"/>
      <c r="BC47" s="104"/>
      <c r="BD47" s="104"/>
      <c r="BE47" s="104"/>
      <c r="BF47" s="104"/>
      <c r="BG47" s="104"/>
      <c r="BH47" s="104"/>
      <c r="BI47" s="104"/>
      <c r="BJ47" s="104"/>
      <c r="BK47" s="104"/>
      <c r="BL47" s="105"/>
    </row>
    <row r="48" spans="2:64" ht="62.4" x14ac:dyDescent="0.3">
      <c r="B48" s="108">
        <v>47</v>
      </c>
      <c r="C48" s="36" t="s">
        <v>152</v>
      </c>
      <c r="D48" s="36" t="s">
        <v>153</v>
      </c>
      <c r="E48" s="156"/>
      <c r="F48" s="103"/>
      <c r="G48" s="106"/>
      <c r="H48" s="106"/>
      <c r="I48" s="104"/>
      <c r="J48" s="104"/>
      <c r="K48" s="104"/>
      <c r="L48" s="104"/>
      <c r="M48" s="104"/>
      <c r="N48" s="104"/>
      <c r="O48" s="104"/>
      <c r="P48" s="105"/>
      <c r="Q48" s="103"/>
      <c r="R48" s="106"/>
      <c r="S48" s="104"/>
      <c r="T48" s="104"/>
      <c r="U48" s="104"/>
      <c r="V48" s="104"/>
      <c r="W48" s="104"/>
      <c r="X48" s="104"/>
      <c r="Y48" s="104"/>
      <c r="Z48" s="104" t="s">
        <v>233</v>
      </c>
      <c r="AA48" s="104"/>
      <c r="AB48" s="105"/>
      <c r="AC48" s="103"/>
      <c r="AD48" s="106"/>
      <c r="AE48" s="104"/>
      <c r="AF48" s="104"/>
      <c r="AG48" s="104"/>
      <c r="AH48" s="104"/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5" t="s">
        <v>233</v>
      </c>
      <c r="BB48" s="138"/>
      <c r="BC48" s="104"/>
      <c r="BD48" s="104"/>
      <c r="BE48" s="104"/>
      <c r="BF48" s="104"/>
      <c r="BG48" s="104"/>
      <c r="BH48" s="104"/>
      <c r="BI48" s="104"/>
      <c r="BJ48" s="104"/>
      <c r="BK48" s="104"/>
      <c r="BL48" s="105"/>
    </row>
    <row r="49" spans="2:68" ht="62.4" x14ac:dyDescent="0.3">
      <c r="B49" s="108">
        <v>48</v>
      </c>
      <c r="C49" s="36" t="s">
        <v>155</v>
      </c>
      <c r="D49" s="36" t="s">
        <v>156</v>
      </c>
      <c r="E49" s="156"/>
      <c r="F49" s="103"/>
      <c r="G49" s="106"/>
      <c r="H49" s="106"/>
      <c r="I49" s="104"/>
      <c r="J49" s="104"/>
      <c r="K49" s="104"/>
      <c r="L49" s="104"/>
      <c r="M49" s="104" t="s">
        <v>233</v>
      </c>
      <c r="N49" s="104"/>
      <c r="O49" s="104"/>
      <c r="P49" s="105"/>
      <c r="Q49" s="103"/>
      <c r="R49" s="106"/>
      <c r="S49" s="104"/>
      <c r="T49" s="104"/>
      <c r="U49" s="104"/>
      <c r="V49" s="104"/>
      <c r="W49" s="104"/>
      <c r="X49" s="104"/>
      <c r="Y49" s="104"/>
      <c r="Z49" s="104"/>
      <c r="AA49" s="104"/>
      <c r="AB49" s="105"/>
      <c r="AC49" s="103"/>
      <c r="AD49" s="106"/>
      <c r="AE49" s="104"/>
      <c r="AF49" s="104"/>
      <c r="AG49" s="104"/>
      <c r="AH49" s="104"/>
      <c r="AI49" s="104"/>
      <c r="AJ49" s="104"/>
      <c r="AK49" s="104"/>
      <c r="AL49" s="104"/>
      <c r="AM49" s="104"/>
      <c r="AN49" s="104"/>
      <c r="AO49" s="104"/>
      <c r="AP49" s="104"/>
      <c r="AQ49" s="104"/>
      <c r="AR49" s="104"/>
      <c r="AS49" s="104"/>
      <c r="AT49" s="104"/>
      <c r="AU49" s="104"/>
      <c r="AV49" s="104"/>
      <c r="AW49" s="104"/>
      <c r="AX49" s="104"/>
      <c r="AY49" s="104"/>
      <c r="AZ49" s="104"/>
      <c r="BA49" s="105"/>
      <c r="BB49" s="138"/>
      <c r="BC49" s="104" t="s">
        <v>233</v>
      </c>
      <c r="BD49" s="104"/>
      <c r="BE49" s="104"/>
      <c r="BF49" s="104"/>
      <c r="BG49" s="104"/>
      <c r="BH49" s="104"/>
      <c r="BI49" s="104"/>
      <c r="BJ49" s="104"/>
      <c r="BK49" s="104"/>
      <c r="BL49" s="105"/>
    </row>
    <row r="50" spans="2:68" ht="62.4" x14ac:dyDescent="0.3">
      <c r="B50" s="108">
        <v>49</v>
      </c>
      <c r="C50" s="36" t="s">
        <v>158</v>
      </c>
      <c r="D50" s="36" t="s">
        <v>159</v>
      </c>
      <c r="E50" s="156"/>
      <c r="F50" s="103"/>
      <c r="G50" s="106"/>
      <c r="H50" s="106"/>
      <c r="I50" s="104"/>
      <c r="J50" s="104"/>
      <c r="K50" s="104"/>
      <c r="L50" s="104"/>
      <c r="M50" s="104"/>
      <c r="N50" s="104"/>
      <c r="O50" s="104"/>
      <c r="P50" s="105"/>
      <c r="Q50" s="103"/>
      <c r="R50" s="106"/>
      <c r="S50" s="104"/>
      <c r="T50" s="104"/>
      <c r="U50" s="104"/>
      <c r="V50" s="104"/>
      <c r="W50" s="104"/>
      <c r="X50" s="104"/>
      <c r="Y50" s="104"/>
      <c r="Z50" s="104"/>
      <c r="AA50" s="104"/>
      <c r="AB50" s="105"/>
      <c r="AC50" s="103"/>
      <c r="AD50" s="106"/>
      <c r="AE50" s="104"/>
      <c r="AF50" s="104"/>
      <c r="AG50" s="104"/>
      <c r="AH50" s="104"/>
      <c r="AI50" s="104"/>
      <c r="AJ50" s="104"/>
      <c r="AK50" s="104"/>
      <c r="AL50" s="104"/>
      <c r="AM50" s="104"/>
      <c r="AN50" s="104"/>
      <c r="AO50" s="104"/>
      <c r="AP50" s="104"/>
      <c r="AQ50" s="104"/>
      <c r="AR50" s="104"/>
      <c r="AS50" s="104"/>
      <c r="AT50" s="104"/>
      <c r="AU50" s="104"/>
      <c r="AV50" s="104"/>
      <c r="AW50" s="104"/>
      <c r="AX50" s="104"/>
      <c r="AY50" s="104"/>
      <c r="AZ50" s="104"/>
      <c r="BA50" s="105"/>
      <c r="BB50" s="138" t="s">
        <v>233</v>
      </c>
      <c r="BC50" s="104"/>
      <c r="BD50" s="104" t="s">
        <v>233</v>
      </c>
      <c r="BE50" s="104"/>
      <c r="BF50" s="104"/>
      <c r="BG50" s="104"/>
      <c r="BH50" s="104"/>
      <c r="BI50" s="104"/>
      <c r="BJ50" s="104"/>
      <c r="BK50" s="104"/>
      <c r="BL50" s="105"/>
    </row>
    <row r="51" spans="2:68" ht="46.8" x14ac:dyDescent="0.3">
      <c r="B51" s="108">
        <v>50</v>
      </c>
      <c r="C51" s="36" t="s">
        <v>161</v>
      </c>
      <c r="D51" s="36" t="s">
        <v>162</v>
      </c>
      <c r="E51" s="156"/>
      <c r="F51" s="103"/>
      <c r="G51" s="106"/>
      <c r="H51" s="106"/>
      <c r="I51" s="104"/>
      <c r="J51" s="104"/>
      <c r="K51" s="104"/>
      <c r="L51" s="104"/>
      <c r="M51" s="104"/>
      <c r="N51" s="104"/>
      <c r="O51" s="104"/>
      <c r="P51" s="105"/>
      <c r="Q51" s="103"/>
      <c r="R51" s="106"/>
      <c r="S51" s="104"/>
      <c r="T51" s="104"/>
      <c r="U51" s="104"/>
      <c r="V51" s="104"/>
      <c r="W51" s="104"/>
      <c r="X51" s="104"/>
      <c r="Y51" s="104"/>
      <c r="Z51" s="104"/>
      <c r="AA51" s="104"/>
      <c r="AB51" s="105"/>
      <c r="AC51" s="103"/>
      <c r="AD51" s="106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 t="s">
        <v>233</v>
      </c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  <c r="BA51" s="105"/>
      <c r="BB51" s="138"/>
      <c r="BC51" s="104"/>
      <c r="BD51" s="104"/>
      <c r="BE51" s="104"/>
      <c r="BF51" s="104"/>
      <c r="BG51" s="104"/>
      <c r="BH51" s="104"/>
      <c r="BI51" s="104"/>
      <c r="BJ51" s="104"/>
      <c r="BK51" s="104"/>
      <c r="BL51" s="105"/>
    </row>
    <row r="52" spans="2:68" ht="46.8" x14ac:dyDescent="0.3">
      <c r="B52" s="108">
        <v>51</v>
      </c>
      <c r="C52" s="36" t="s">
        <v>164</v>
      </c>
      <c r="D52" s="36" t="s">
        <v>165</v>
      </c>
      <c r="E52" s="156"/>
      <c r="F52" s="103"/>
      <c r="G52" s="106"/>
      <c r="H52" s="106"/>
      <c r="I52" s="104"/>
      <c r="J52" s="104"/>
      <c r="K52" s="104"/>
      <c r="L52" s="104"/>
      <c r="M52" s="104"/>
      <c r="N52" s="104"/>
      <c r="O52" s="104"/>
      <c r="P52" s="105"/>
      <c r="Q52" s="103"/>
      <c r="R52" s="106"/>
      <c r="S52" s="104"/>
      <c r="T52" s="104"/>
      <c r="U52" s="104"/>
      <c r="V52" s="104"/>
      <c r="W52" s="104"/>
      <c r="X52" s="104"/>
      <c r="Y52" s="104"/>
      <c r="Z52" s="104"/>
      <c r="AA52" s="104"/>
      <c r="AB52" s="105"/>
      <c r="AC52" s="103"/>
      <c r="AD52" s="106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  <c r="AS52" s="104"/>
      <c r="AT52" s="104"/>
      <c r="AU52" s="104"/>
      <c r="AV52" s="104"/>
      <c r="AW52" s="104"/>
      <c r="AX52" s="104"/>
      <c r="AY52" s="104"/>
      <c r="AZ52" s="104"/>
      <c r="BA52" s="105"/>
      <c r="BB52" s="138"/>
      <c r="BC52" s="104"/>
      <c r="BD52" s="104"/>
      <c r="BE52" s="104"/>
      <c r="BF52" s="104"/>
      <c r="BG52" s="104"/>
      <c r="BH52" s="104"/>
      <c r="BI52" s="104"/>
      <c r="BJ52" s="104" t="s">
        <v>233</v>
      </c>
      <c r="BK52" s="104"/>
      <c r="BL52" s="105"/>
    </row>
    <row r="53" spans="2:68" ht="46.8" x14ac:dyDescent="0.3">
      <c r="B53" s="108">
        <v>52</v>
      </c>
      <c r="C53" s="36" t="s">
        <v>168</v>
      </c>
      <c r="D53" s="36" t="s">
        <v>169</v>
      </c>
      <c r="E53" s="156"/>
      <c r="F53" s="103"/>
      <c r="G53" s="106"/>
      <c r="H53" s="106"/>
      <c r="I53" s="104"/>
      <c r="J53" s="104"/>
      <c r="K53" s="104"/>
      <c r="L53" s="104"/>
      <c r="M53" s="104"/>
      <c r="N53" s="104"/>
      <c r="O53" s="104"/>
      <c r="P53" s="105"/>
      <c r="Q53" s="103"/>
      <c r="R53" s="106"/>
      <c r="S53" s="104" t="s">
        <v>233</v>
      </c>
      <c r="T53" s="104"/>
      <c r="U53" s="104"/>
      <c r="V53" s="104"/>
      <c r="W53" s="104"/>
      <c r="X53" s="104"/>
      <c r="Y53" s="104"/>
      <c r="Z53" s="104"/>
      <c r="AA53" s="104"/>
      <c r="AB53" s="105"/>
      <c r="AC53" s="103"/>
      <c r="AD53" s="106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5"/>
      <c r="BB53" s="138"/>
      <c r="BC53" s="104"/>
      <c r="BD53" s="104"/>
      <c r="BE53" s="104"/>
      <c r="BF53" s="104"/>
      <c r="BG53" s="104"/>
      <c r="BH53" s="104"/>
      <c r="BI53" s="104"/>
      <c r="BJ53" s="104"/>
      <c r="BK53" s="104"/>
      <c r="BL53" s="105"/>
    </row>
    <row r="54" spans="2:68" ht="46.8" x14ac:dyDescent="0.3">
      <c r="B54" s="108">
        <v>53</v>
      </c>
      <c r="C54" s="36" t="s">
        <v>171</v>
      </c>
      <c r="D54" s="36" t="s">
        <v>172</v>
      </c>
      <c r="E54" s="156"/>
      <c r="F54" s="103"/>
      <c r="G54" s="106"/>
      <c r="H54" s="106"/>
      <c r="I54" s="104"/>
      <c r="J54" s="104"/>
      <c r="K54" s="104"/>
      <c r="L54" s="104"/>
      <c r="M54" s="104"/>
      <c r="N54" s="104"/>
      <c r="O54" s="104"/>
      <c r="P54" s="105"/>
      <c r="Q54" s="103"/>
      <c r="R54" s="106"/>
      <c r="S54" s="104"/>
      <c r="T54" s="104"/>
      <c r="U54" s="104"/>
      <c r="V54" s="104"/>
      <c r="W54" s="104"/>
      <c r="X54" s="104"/>
      <c r="Y54" s="104"/>
      <c r="Z54" s="104"/>
      <c r="AA54" s="104"/>
      <c r="AB54" s="105"/>
      <c r="AC54" s="103"/>
      <c r="AD54" s="106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5"/>
      <c r="BB54" s="138"/>
      <c r="BC54" s="104"/>
      <c r="BD54" s="104" t="s">
        <v>233</v>
      </c>
      <c r="BE54" s="104"/>
      <c r="BF54" s="104"/>
      <c r="BG54" s="104"/>
      <c r="BH54" s="104"/>
      <c r="BI54" s="104"/>
      <c r="BJ54" s="104"/>
      <c r="BK54" s="104"/>
      <c r="BL54" s="105"/>
    </row>
    <row r="55" spans="2:68" ht="47.4" thickBot="1" x14ac:dyDescent="0.35">
      <c r="B55" s="109">
        <v>54</v>
      </c>
      <c r="C55" s="63" t="s">
        <v>174</v>
      </c>
      <c r="D55" s="63" t="s">
        <v>175</v>
      </c>
      <c r="E55" s="158"/>
      <c r="F55" s="110"/>
      <c r="G55" s="113"/>
      <c r="H55" s="113"/>
      <c r="I55" s="111"/>
      <c r="J55" s="111"/>
      <c r="K55" s="111"/>
      <c r="L55" s="111"/>
      <c r="M55" s="111"/>
      <c r="N55" s="111"/>
      <c r="O55" s="111"/>
      <c r="P55" s="112"/>
      <c r="Q55" s="110"/>
      <c r="R55" s="113"/>
      <c r="S55" s="111"/>
      <c r="T55" s="111"/>
      <c r="U55" s="111"/>
      <c r="V55" s="111"/>
      <c r="W55" s="111"/>
      <c r="X55" s="111"/>
      <c r="Y55" s="111"/>
      <c r="Z55" s="111"/>
      <c r="AA55" s="111"/>
      <c r="AB55" s="112"/>
      <c r="AC55" s="110"/>
      <c r="AD55" s="113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2" t="s">
        <v>233</v>
      </c>
      <c r="BB55" s="144"/>
      <c r="BC55" s="111"/>
      <c r="BD55" s="111"/>
      <c r="BE55" s="111"/>
      <c r="BF55" s="111"/>
      <c r="BG55" s="111"/>
      <c r="BH55" s="111"/>
      <c r="BI55" s="111"/>
      <c r="BJ55" s="111"/>
      <c r="BK55" s="111"/>
      <c r="BL55" s="112"/>
    </row>
    <row r="56" spans="2:68" s="182" customFormat="1" ht="16.2" thickTop="1" x14ac:dyDescent="0.3">
      <c r="B56" s="124"/>
      <c r="C56" s="125" t="s">
        <v>238</v>
      </c>
      <c r="D56" s="67">
        <f>COUNTA(D5:D55)</f>
        <v>51</v>
      </c>
      <c r="E56" s="70">
        <f>COUNTA(E5:E55)</f>
        <v>2</v>
      </c>
      <c r="F56" s="159">
        <f>COUNTA(F5:F55)</f>
        <v>6</v>
      </c>
      <c r="G56" s="72">
        <f>COUNTA(G5:G55)</f>
        <v>1</v>
      </c>
      <c r="H56" s="72">
        <f t="shared" ref="H56:BL56" si="0">COUNTA(H5:H55)</f>
        <v>2</v>
      </c>
      <c r="I56" s="72">
        <f t="shared" si="0"/>
        <v>1</v>
      </c>
      <c r="J56" s="72">
        <f t="shared" si="0"/>
        <v>1</v>
      </c>
      <c r="K56" s="72">
        <f t="shared" si="0"/>
        <v>1</v>
      </c>
      <c r="L56" s="72">
        <f t="shared" si="0"/>
        <v>1</v>
      </c>
      <c r="M56" s="72">
        <f t="shared" si="0"/>
        <v>1</v>
      </c>
      <c r="N56" s="72">
        <f t="shared" si="0"/>
        <v>1</v>
      </c>
      <c r="O56" s="72">
        <f t="shared" si="0"/>
        <v>1</v>
      </c>
      <c r="P56" s="161">
        <f t="shared" si="0"/>
        <v>2</v>
      </c>
      <c r="Q56" s="70">
        <f t="shared" si="0"/>
        <v>5</v>
      </c>
      <c r="R56" s="72">
        <f t="shared" si="0"/>
        <v>1</v>
      </c>
      <c r="S56" s="72">
        <f t="shared" si="0"/>
        <v>9</v>
      </c>
      <c r="T56" s="72">
        <f t="shared" si="0"/>
        <v>1</v>
      </c>
      <c r="U56" s="72">
        <f t="shared" si="0"/>
        <v>2</v>
      </c>
      <c r="V56" s="72">
        <f t="shared" si="0"/>
        <v>2</v>
      </c>
      <c r="W56" s="72">
        <f t="shared" si="0"/>
        <v>1</v>
      </c>
      <c r="X56" s="72">
        <f t="shared" si="0"/>
        <v>1</v>
      </c>
      <c r="Y56" s="72">
        <f t="shared" si="0"/>
        <v>1</v>
      </c>
      <c r="Z56" s="72">
        <f t="shared" si="0"/>
        <v>1</v>
      </c>
      <c r="AA56" s="72">
        <f t="shared" si="0"/>
        <v>2</v>
      </c>
      <c r="AB56" s="163">
        <f t="shared" si="0"/>
        <v>2</v>
      </c>
      <c r="AC56" s="72">
        <f t="shared" si="0"/>
        <v>1</v>
      </c>
      <c r="AD56" s="72">
        <f t="shared" si="0"/>
        <v>1</v>
      </c>
      <c r="AE56" s="72">
        <f t="shared" si="0"/>
        <v>1</v>
      </c>
      <c r="AF56" s="72">
        <f t="shared" si="0"/>
        <v>1</v>
      </c>
      <c r="AG56" s="72">
        <f t="shared" si="0"/>
        <v>1</v>
      </c>
      <c r="AH56" s="72">
        <f t="shared" si="0"/>
        <v>1</v>
      </c>
      <c r="AI56" s="72">
        <f t="shared" si="0"/>
        <v>1</v>
      </c>
      <c r="AJ56" s="72">
        <f t="shared" si="0"/>
        <v>1</v>
      </c>
      <c r="AK56" s="72">
        <f t="shared" si="0"/>
        <v>2</v>
      </c>
      <c r="AL56" s="72">
        <f t="shared" si="0"/>
        <v>1</v>
      </c>
      <c r="AM56" s="72">
        <f t="shared" si="0"/>
        <v>1</v>
      </c>
      <c r="AN56" s="72">
        <f t="shared" si="0"/>
        <v>2</v>
      </c>
      <c r="AO56" s="72">
        <f t="shared" si="0"/>
        <v>1</v>
      </c>
      <c r="AP56" s="72">
        <f t="shared" si="0"/>
        <v>1</v>
      </c>
      <c r="AQ56" s="72">
        <f t="shared" si="0"/>
        <v>2</v>
      </c>
      <c r="AR56" s="72">
        <f t="shared" si="0"/>
        <v>2</v>
      </c>
      <c r="AS56" s="72">
        <f t="shared" si="0"/>
        <v>1</v>
      </c>
      <c r="AT56" s="72">
        <f t="shared" si="0"/>
        <v>1</v>
      </c>
      <c r="AU56" s="72">
        <f t="shared" si="0"/>
        <v>2</v>
      </c>
      <c r="AV56" s="72">
        <f t="shared" si="0"/>
        <v>2</v>
      </c>
      <c r="AW56" s="72">
        <f t="shared" si="0"/>
        <v>1</v>
      </c>
      <c r="AX56" s="72">
        <f t="shared" si="0"/>
        <v>1</v>
      </c>
      <c r="AY56" s="72">
        <f t="shared" si="0"/>
        <v>1</v>
      </c>
      <c r="AZ56" s="72">
        <f t="shared" si="0"/>
        <v>3</v>
      </c>
      <c r="BA56" s="161">
        <f t="shared" si="0"/>
        <v>9</v>
      </c>
      <c r="BB56" s="70">
        <f t="shared" si="0"/>
        <v>1</v>
      </c>
      <c r="BC56" s="72">
        <f t="shared" si="0"/>
        <v>3</v>
      </c>
      <c r="BD56" s="72">
        <f t="shared" si="0"/>
        <v>10</v>
      </c>
      <c r="BE56" s="72">
        <f t="shared" si="0"/>
        <v>2</v>
      </c>
      <c r="BF56" s="72">
        <f t="shared" si="0"/>
        <v>1</v>
      </c>
      <c r="BG56" s="72">
        <f t="shared" si="0"/>
        <v>1</v>
      </c>
      <c r="BH56" s="72">
        <f t="shared" si="0"/>
        <v>2</v>
      </c>
      <c r="BI56" s="72">
        <f t="shared" si="0"/>
        <v>1</v>
      </c>
      <c r="BJ56" s="72">
        <f t="shared" si="0"/>
        <v>1</v>
      </c>
      <c r="BK56" s="72">
        <f t="shared" si="0"/>
        <v>1</v>
      </c>
      <c r="BL56" s="163">
        <f t="shared" si="0"/>
        <v>1</v>
      </c>
      <c r="BM56" s="181"/>
      <c r="BN56" s="181"/>
      <c r="BO56" s="181"/>
      <c r="BP56" s="181"/>
    </row>
    <row r="57" spans="2:68" ht="16.2" thickBot="1" x14ac:dyDescent="0.35">
      <c r="B57" s="126"/>
      <c r="C57" s="127" t="s">
        <v>239</v>
      </c>
      <c r="D57" s="75">
        <v>1</v>
      </c>
      <c r="E57" s="77">
        <f>E56/$D$56</f>
        <v>3.9215686274509803E-2</v>
      </c>
      <c r="F57" s="160">
        <f t="shared" ref="F57:BL57" si="1">F56/$D$56</f>
        <v>0.11764705882352941</v>
      </c>
      <c r="G57" s="80">
        <f t="shared" si="1"/>
        <v>1.9607843137254902E-2</v>
      </c>
      <c r="H57" s="80">
        <f t="shared" si="1"/>
        <v>3.9215686274509803E-2</v>
      </c>
      <c r="I57" s="80">
        <f t="shared" si="1"/>
        <v>1.9607843137254902E-2</v>
      </c>
      <c r="J57" s="80">
        <f t="shared" si="1"/>
        <v>1.9607843137254902E-2</v>
      </c>
      <c r="K57" s="80">
        <f t="shared" si="1"/>
        <v>1.9607843137254902E-2</v>
      </c>
      <c r="L57" s="80">
        <f t="shared" si="1"/>
        <v>1.9607843137254902E-2</v>
      </c>
      <c r="M57" s="80">
        <f t="shared" si="1"/>
        <v>1.9607843137254902E-2</v>
      </c>
      <c r="N57" s="80">
        <f t="shared" si="1"/>
        <v>1.9607843137254902E-2</v>
      </c>
      <c r="O57" s="80">
        <f t="shared" si="1"/>
        <v>1.9607843137254902E-2</v>
      </c>
      <c r="P57" s="162">
        <f t="shared" si="1"/>
        <v>3.9215686274509803E-2</v>
      </c>
      <c r="Q57" s="77">
        <f t="shared" si="1"/>
        <v>9.8039215686274508E-2</v>
      </c>
      <c r="R57" s="80">
        <f t="shared" si="1"/>
        <v>1.9607843137254902E-2</v>
      </c>
      <c r="S57" s="80">
        <f t="shared" si="1"/>
        <v>0.17647058823529413</v>
      </c>
      <c r="T57" s="80">
        <f t="shared" si="1"/>
        <v>1.9607843137254902E-2</v>
      </c>
      <c r="U57" s="80">
        <f t="shared" si="1"/>
        <v>3.9215686274509803E-2</v>
      </c>
      <c r="V57" s="80">
        <f t="shared" si="1"/>
        <v>3.9215686274509803E-2</v>
      </c>
      <c r="W57" s="80">
        <f t="shared" si="1"/>
        <v>1.9607843137254902E-2</v>
      </c>
      <c r="X57" s="80">
        <f t="shared" si="1"/>
        <v>1.9607843137254902E-2</v>
      </c>
      <c r="Y57" s="80">
        <f t="shared" si="1"/>
        <v>1.9607843137254902E-2</v>
      </c>
      <c r="Z57" s="80">
        <f t="shared" si="1"/>
        <v>1.9607843137254902E-2</v>
      </c>
      <c r="AA57" s="80">
        <f t="shared" si="1"/>
        <v>3.9215686274509803E-2</v>
      </c>
      <c r="AB57" s="164">
        <f t="shared" si="1"/>
        <v>3.9215686274509803E-2</v>
      </c>
      <c r="AC57" s="80">
        <f t="shared" si="1"/>
        <v>1.9607843137254902E-2</v>
      </c>
      <c r="AD57" s="80">
        <f t="shared" si="1"/>
        <v>1.9607843137254902E-2</v>
      </c>
      <c r="AE57" s="80">
        <f t="shared" si="1"/>
        <v>1.9607843137254902E-2</v>
      </c>
      <c r="AF57" s="80">
        <f t="shared" si="1"/>
        <v>1.9607843137254902E-2</v>
      </c>
      <c r="AG57" s="80">
        <f t="shared" si="1"/>
        <v>1.9607843137254902E-2</v>
      </c>
      <c r="AH57" s="80">
        <f t="shared" si="1"/>
        <v>1.9607843137254902E-2</v>
      </c>
      <c r="AI57" s="80">
        <f t="shared" si="1"/>
        <v>1.9607843137254902E-2</v>
      </c>
      <c r="AJ57" s="80">
        <f t="shared" si="1"/>
        <v>1.9607843137254902E-2</v>
      </c>
      <c r="AK57" s="80">
        <f t="shared" si="1"/>
        <v>3.9215686274509803E-2</v>
      </c>
      <c r="AL57" s="80">
        <f t="shared" si="1"/>
        <v>1.9607843137254902E-2</v>
      </c>
      <c r="AM57" s="80">
        <f t="shared" si="1"/>
        <v>1.9607843137254902E-2</v>
      </c>
      <c r="AN57" s="80">
        <f t="shared" si="1"/>
        <v>3.9215686274509803E-2</v>
      </c>
      <c r="AO57" s="80">
        <f t="shared" si="1"/>
        <v>1.9607843137254902E-2</v>
      </c>
      <c r="AP57" s="80">
        <f t="shared" si="1"/>
        <v>1.9607843137254902E-2</v>
      </c>
      <c r="AQ57" s="80">
        <f t="shared" si="1"/>
        <v>3.9215686274509803E-2</v>
      </c>
      <c r="AR57" s="80">
        <f t="shared" si="1"/>
        <v>3.9215686274509803E-2</v>
      </c>
      <c r="AS57" s="80">
        <f t="shared" si="1"/>
        <v>1.9607843137254902E-2</v>
      </c>
      <c r="AT57" s="80">
        <f t="shared" si="1"/>
        <v>1.9607843137254902E-2</v>
      </c>
      <c r="AU57" s="80">
        <f t="shared" si="1"/>
        <v>3.9215686274509803E-2</v>
      </c>
      <c r="AV57" s="80">
        <f t="shared" si="1"/>
        <v>3.9215686274509803E-2</v>
      </c>
      <c r="AW57" s="80">
        <f t="shared" si="1"/>
        <v>1.9607843137254902E-2</v>
      </c>
      <c r="AX57" s="80">
        <f t="shared" si="1"/>
        <v>1.9607843137254902E-2</v>
      </c>
      <c r="AY57" s="80">
        <f t="shared" si="1"/>
        <v>1.9607843137254902E-2</v>
      </c>
      <c r="AZ57" s="80">
        <f t="shared" si="1"/>
        <v>5.8823529411764705E-2</v>
      </c>
      <c r="BA57" s="162">
        <f t="shared" si="1"/>
        <v>0.17647058823529413</v>
      </c>
      <c r="BB57" s="77">
        <f t="shared" si="1"/>
        <v>1.9607843137254902E-2</v>
      </c>
      <c r="BC57" s="80">
        <f t="shared" si="1"/>
        <v>5.8823529411764705E-2</v>
      </c>
      <c r="BD57" s="80">
        <f t="shared" si="1"/>
        <v>0.19607843137254902</v>
      </c>
      <c r="BE57" s="80">
        <f t="shared" si="1"/>
        <v>3.9215686274509803E-2</v>
      </c>
      <c r="BF57" s="80">
        <f t="shared" si="1"/>
        <v>1.9607843137254902E-2</v>
      </c>
      <c r="BG57" s="80">
        <f t="shared" si="1"/>
        <v>1.9607843137254902E-2</v>
      </c>
      <c r="BH57" s="80">
        <f t="shared" si="1"/>
        <v>3.9215686274509803E-2</v>
      </c>
      <c r="BI57" s="80">
        <f t="shared" si="1"/>
        <v>1.9607843137254902E-2</v>
      </c>
      <c r="BJ57" s="80">
        <f t="shared" si="1"/>
        <v>1.9607843137254902E-2</v>
      </c>
      <c r="BK57" s="80">
        <f t="shared" si="1"/>
        <v>1.9607843137254902E-2</v>
      </c>
      <c r="BL57" s="164">
        <f t="shared" si="1"/>
        <v>1.9607843137254902E-2</v>
      </c>
    </row>
  </sheetData>
  <mergeCells count="4">
    <mergeCell ref="AC3:BA3"/>
    <mergeCell ref="BB3:BL3"/>
    <mergeCell ref="F3:P3"/>
    <mergeCell ref="Q3:AB3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 set</vt:lpstr>
      <vt:lpstr>arch. analysis</vt:lpstr>
      <vt:lpstr>use cases</vt:lpstr>
      <vt:lpstr>frameworks and tools</vt:lpstr>
      <vt:lpstr>hardware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Straub</dc:creator>
  <cp:lastModifiedBy>Straub, Philipp</cp:lastModifiedBy>
  <dcterms:created xsi:type="dcterms:W3CDTF">2015-06-05T18:19:34Z</dcterms:created>
  <dcterms:modified xsi:type="dcterms:W3CDTF">2026-09-10T10:04:09Z</dcterms:modified>
</cp:coreProperties>
</file>